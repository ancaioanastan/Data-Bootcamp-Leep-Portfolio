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na\Desktop\Leep Talent\Excel\DATASETS\"/>
    </mc:Choice>
  </mc:AlternateContent>
  <xr:revisionPtr revIDLastSave="0" documentId="13_ncr:1_{5002CB8C-30F2-40AC-B6D0-F750CC2E3CAE}" xr6:coauthVersionLast="47" xr6:coauthVersionMax="47" xr10:uidLastSave="{00000000-0000-0000-0000-000000000000}"/>
  <bookViews>
    <workbookView xWindow="-108" yWindow="-108" windowWidth="30936" windowHeight="16776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 a="1"/>
  <c r="F26" i="1" a="1"/>
  <c r="G26" i="1"/>
  <c r="E25" i="1" a="1"/>
  <c r="F25" i="1" a="1"/>
  <c r="G25" i="1"/>
  <c r="E4" i="1" a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4" i="1"/>
  <c r="F5" i="1" a="1"/>
  <c r="F6" i="1" a="1"/>
  <c r="F7" i="1" a="1"/>
  <c r="F8" i="1" a="1"/>
  <c r="F9" i="1" a="1"/>
  <c r="F10" i="1" a="1"/>
  <c r="F11" i="1" a="1"/>
  <c r="F12" i="1" a="1"/>
  <c r="F13" i="1" a="1"/>
  <c r="F14" i="1" a="1"/>
  <c r="F15" i="1" a="1"/>
  <c r="F16" i="1" a="1"/>
  <c r="F17" i="1" a="1"/>
  <c r="F18" i="1" a="1"/>
  <c r="F19" i="1" a="1"/>
  <c r="F20" i="1" a="1"/>
  <c r="F21" i="1" a="1"/>
  <c r="F22" i="1" a="1"/>
  <c r="F23" i="1" a="1"/>
  <c r="F24" i="1" a="1"/>
  <c r="F4" i="1" a="1"/>
  <c r="E5" i="1" a="1"/>
  <c r="E6" i="1" a="1"/>
  <c r="E7" i="1" a="1"/>
  <c r="E8" i="1" a="1"/>
  <c r="E9" i="1" a="1"/>
  <c r="E10" i="1" a="1"/>
  <c r="E11" i="1" a="1"/>
  <c r="E12" i="1" a="1"/>
  <c r="E13" i="1" a="1"/>
  <c r="E14" i="1" a="1"/>
  <c r="E15" i="1" a="1"/>
  <c r="E16" i="1" a="1"/>
  <c r="E17" i="1" a="1"/>
  <c r="E18" i="1" a="1"/>
  <c r="E19" i="1" a="1"/>
  <c r="E20" i="1" a="1"/>
  <c r="E21" i="1" a="1"/>
  <c r="E22" i="1" a="1"/>
  <c r="E23" i="1" a="1"/>
  <c r="E2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<sst xmlns="http://schemas.openxmlformats.org/spreadsheetml/2006/main" count="56" uniqueCount="56">
  <si>
    <t>Biggest Atlantic Hurricanes</t>
  </si>
  <si>
    <t>Name</t>
  </si>
  <si>
    <t>Start Date</t>
  </si>
  <si>
    <t>Damage 
(USD 
Millions)</t>
  </si>
  <si>
    <t>Category*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</si>
  <si>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</si>
  <si>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</si>
  <si>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</si>
  <si>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</si>
  <si>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</si>
  <si>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</si>
  <si>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</si>
  <si>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</si>
  <si>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</si>
  <si>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</si>
  <si>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</si>
  <si>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</si>
  <si>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</si>
  <si>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</si>
  <si>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</si>
  <si>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</si>
  <si>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</si>
  <si>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</si>
  <si>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</si>
  <si>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</si>
  <si>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</si>
  <si>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</si>
  <si>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</si>
  <si>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</si>
  <si>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</si>
  <si>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</si>
  <si>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</si>
  <si>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</si>
  <si>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</si>
  <si>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</si>
  <si>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</si>
  <si>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</si>
  <si>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</si>
  <si>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</si>
  <si>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</si>
  <si>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</si>
  <si>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</si>
  <si>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</si>
  <si>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</si>
  <si>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</si>
  <si>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</si>
  <si>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</si>
  <si>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</si>
  <si>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</si>
  <si>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</si>
  <si>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</si>
  <si>
    <t>Max  Wind  Speed</t>
  </si>
  <si>
    <t>IFS</t>
  </si>
  <si>
    <t>VLOOKUP</t>
  </si>
  <si>
    <t>SWITCH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</si>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</sst>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10">
    <xf numFmtId="0" fontId="0" fillId="0" borderId="0" xfId="0"/>
    <xf numFmtId="0" fontId="3" fillId="0" borderId="1" xfId="3"/>
    <xf numFmtId="0" fontId="2" fillId="0" borderId="0" xfId="2"/>
    <xf numFmtId="41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  <xf numFmtId="0" fontId="3" fillId="0" borderId="1" xfId="3" applyAlignment="1">
      <alignment horizontal="center" wrapText="1"/>
    </xf>
    <xf numFmtId="0" fontId="4" fillId="0" borderId="0" xfId="0" applyFont="1"/>
    <xf numFmtId="0" fontId="3" fillId="0" borderId="1" xfId="3" applyAlignment="1">
      <alignment horizontal="center" wrapText="1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J46"/>
  <sheetViews>
    <sheetView tabSelected="1" workbookViewId="0">
      <selection activeCell="E4" sqref="E4"/>
    </sheetView>
  </sheetViews>
  <sheetFormatPr defaultRowHeight="14.4" x14ac:dyDescent="0.3"/>
  <cols>
    <col min="1" max="1" width="18.6640625" customWidth="1"/>
    <col min="2" max="2" width="22.44140625" bestFit="1" customWidth="1"/>
    <col min="3" max="3" width="15" customWidth="1"/>
    <col min="4" max="4" width="9.88671875" bestFit="1" customWidth="1"/>
    <col min="5" max="5" width="16.6640625" bestFit="1" customWidth="1"/>
    <col min="6" max="7" width="11.5546875" bestFit="1" customWidth="1"/>
    <col min="8" max="8" width="4.109375" customWidth="1"/>
    <col min="9" max="9" width="22.33203125" bestFit="1" customWidth="1"/>
    <col min="10" max="10" width="26" bestFit="1" customWidth="1"/>
  </cols>
  <sheetData>
    <row r="1" spans="1:10" ht="23.4" x14ac:dyDescent="0.45">
      <c r="A1" s="2" t="s">
        <v>0</v>
      </c>
    </row>
    <row r="2" spans="1:10" ht="15" thickBot="1" x14ac:dyDescent="0.35">
      <c r="E2" s="9" t="s">
        <v>51</v>
      </c>
      <c r="F2" s="9"/>
      <c r="G2" s="9"/>
      <c r="H2" s="7"/>
    </row>
    <row r="3" spans="1:10" ht="44.25" customHeight="1" thickBot="1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54</v>
      </c>
      <c r="F3" s="5" t="s">
        <v>52</v>
      </c>
      <c r="G3" s="5" t="s">
        <v>53</v>
      </c>
      <c r="H3" s="5"/>
    </row>
    <row r="4" spans="1:10" x14ac:dyDescent="0.3">
      <c r="A4" t="s">
        <v>5</v>
      </c>
      <c r="B4" t="s">
        <v>6</v>
      </c>
      <c r="C4" s="3">
        <v>12</v>
      </c>
      <c r="D4">
        <v>3</v>
      </c>
      <c r="E4" s="6" cm="1">
        <f t="array" ref="E4">_xlfn.SWITCH(D4,1,95,2,110,3,129,4,156,5,"157 and over", "Unknown Category")</f>
        <v>129</v>
      </c>
      <c r="F4" cm="1">
        <f t="array" ref="F4">_xlfn.IFS(D4=1, 95, D4=2, 110, D4=3, 129, D4=4, 156, D4=5, "157 and over")</f>
        <v>129</v>
      </c>
      <c r="G4">
        <f>VLOOKUP(D4,$I$5:$J$10, 2, FALSE)</f>
        <v>129</v>
      </c>
      <c r="I4" t="s">
        <v>7</v>
      </c>
    </row>
    <row r="5" spans="1:10" ht="15" thickBot="1" x14ac:dyDescent="0.35">
      <c r="A5" t="s">
        <v>8</v>
      </c>
      <c r="B5" t="s">
        <v>9</v>
      </c>
      <c r="C5" s="3">
        <v>1</v>
      </c>
      <c r="D5">
        <v>3</v>
      </c>
      <c r="E5" s="6" cm="1">
        <f t="array" ref="E5">_xlfn.SWITCH(D5,1,95,2,110,3,129,4,156,5,"157 and over", "Unknown Category")</f>
        <v>129</v>
      </c>
      <c r="F5" cm="1">
        <f t="array" ref="F5">_xlfn.IFS(D5=1, 95, D5=2, 110, D5=3, 129, D5=4, 156, D5=5, "157 and over")</f>
        <v>129</v>
      </c>
      <c r="G5">
        <f t="shared" ref="G5:G24" si="0">VLOOKUP(D5,$I$5:$J$10, 2, FALSE)</f>
        <v>129</v>
      </c>
      <c r="I5" s="1" t="s">
        <v>10</v>
      </c>
      <c r="J5" s="1" t="s">
        <v>11</v>
      </c>
    </row>
    <row r="6" spans="1:10" x14ac:dyDescent="0.3">
      <c r="A6" t="s">
        <v>12</v>
      </c>
      <c r="B6" t="s">
        <v>13</v>
      </c>
      <c r="C6" s="3">
        <v>5</v>
      </c>
      <c r="D6">
        <v>4</v>
      </c>
      <c r="E6" s="6" cm="1">
        <f t="array" ref="E6">_xlfn.SWITCH(D6,1,95,2,110,3,129,4,156,5,"157 and over", "Unknown Category")</f>
        <v>156</v>
      </c>
      <c r="F6" cm="1">
        <f t="array" ref="F6">_xlfn.IFS(D6=1, 95, D6=2, 110, D6=3, 129, D6=4, 156, D6=5, "157 and over")</f>
        <v>156</v>
      </c>
      <c r="G6">
        <f t="shared" si="0"/>
        <v>156</v>
      </c>
      <c r="I6">
        <v>5</v>
      </c>
      <c r="J6" t="s">
        <v>14</v>
      </c>
    </row>
    <row r="7" spans="1:10" x14ac:dyDescent="0.3">
      <c r="A7" t="s">
        <v>15</v>
      </c>
      <c r="B7" t="s">
        <v>16</v>
      </c>
      <c r="C7" s="3">
        <v>20</v>
      </c>
      <c r="D7">
        <v>4</v>
      </c>
      <c r="E7" s="6" cm="1">
        <f t="array" ref="E7">_xlfn.SWITCH(D7,1,95,2,110,3,129,4,156,5,"157 and over", "Unknown Category")</f>
        <v>156</v>
      </c>
      <c r="F7" cm="1">
        <f t="array" ref="F7">_xlfn.IFS(D7=1, 95, D7=2, 110, D7=3, 129, D7=4, 156, D7=5, "157 and over")</f>
        <v>156</v>
      </c>
      <c r="G7">
        <f t="shared" si="0"/>
        <v>156</v>
      </c>
      <c r="I7">
        <v>4</v>
      </c>
      <c r="J7" s="4">
        <v>156</v>
      </c>
    </row>
    <row r="8" spans="1:10" x14ac:dyDescent="0.3">
      <c r="A8" t="s">
        <v>17</v>
      </c>
      <c r="B8" t="s">
        <v>18</v>
      </c>
      <c r="C8" s="3">
        <v>20</v>
      </c>
      <c r="D8">
        <v>4</v>
      </c>
      <c r="E8" s="6" cm="1">
        <f t="array" ref="E8">_xlfn.SWITCH(D8,1,95,2,110,3,129,4,156,5,"157 and over", "Unknown Category")</f>
        <v>156</v>
      </c>
      <c r="F8" cm="1">
        <f t="array" ref="F8">_xlfn.IFS(D8=1, 95, D8=2, 110, D8=3, 129, D8=4, 156, D8=5, "157 and over")</f>
        <v>156</v>
      </c>
      <c r="G8">
        <f t="shared" si="0"/>
        <v>156</v>
      </c>
      <c r="I8">
        <v>3</v>
      </c>
      <c r="J8" s="4">
        <v>129</v>
      </c>
    </row>
    <row r="9" spans="1:10" x14ac:dyDescent="0.3">
      <c r="A9" t="s">
        <v>19</v>
      </c>
      <c r="B9" t="s">
        <v>20</v>
      </c>
      <c r="C9" s="3">
        <v>50</v>
      </c>
      <c r="D9">
        <v>3</v>
      </c>
      <c r="E9" s="6" cm="1">
        <f t="array" ref="E9">_xlfn.SWITCH(D9,1,95,2,110,3,129,4,156,5,"157 and over", "Unknown Category")</f>
        <v>129</v>
      </c>
      <c r="F9" cm="1">
        <f t="array" ref="F9">_xlfn.IFS(D9=1, 95, D9=2, 110, D9=3, 129, D9=4, 156, D9=5, "157 and over")</f>
        <v>129</v>
      </c>
      <c r="G9">
        <f t="shared" si="0"/>
        <v>129</v>
      </c>
      <c r="I9">
        <v>2</v>
      </c>
      <c r="J9" s="4">
        <v>110</v>
      </c>
    </row>
    <row r="10" spans="1:10" x14ac:dyDescent="0.3">
      <c r="A10" t="s">
        <v>21</v>
      </c>
      <c r="B10" t="s">
        <v>22</v>
      </c>
      <c r="C10" s="3">
        <v>100</v>
      </c>
      <c r="D10">
        <v>5</v>
      </c>
      <c r="E10" s="6" t="str" cm="1">
        <f t="array" ref="E10">_xlfn.SWITCH(D10,1,95,2,110,3,129,4,156,5,"157 and over", "Unknown Category")</f>
        <v>157 and over</v>
      </c>
      <c r="F10" t="str" cm="1">
        <f t="array" ref="F10">_xlfn.IFS(D10=1, 95, D10=2, 110, D10=3, 129, D10=4, 156, D10=5, "157 and over")</f>
        <v>157 and over</v>
      </c>
      <c r="G10" t="str">
        <f t="shared" si="0"/>
        <v>157 and over</v>
      </c>
      <c r="I10">
        <v>1</v>
      </c>
      <c r="J10" s="4">
        <v>95</v>
      </c>
    </row>
    <row r="11" spans="1:10" x14ac:dyDescent="0.3">
      <c r="A11" t="s">
        <v>23</v>
      </c>
      <c r="B11" t="s">
        <v>24</v>
      </c>
      <c r="C11" s="3">
        <v>50</v>
      </c>
      <c r="D11">
        <v>4</v>
      </c>
      <c r="E11" s="6" cm="1">
        <f t="array" ref="E11">_xlfn.SWITCH(D11,1,95,2,110,3,129,4,156,5,"157 and over", "Unknown Category")</f>
        <v>156</v>
      </c>
      <c r="F11" cm="1">
        <f t="array" ref="F11">_xlfn.IFS(D11=1, 95, D11=2, 110, D11=3, 129, D11=4, 156, D11=5, "157 and over")</f>
        <v>156</v>
      </c>
      <c r="G11">
        <f t="shared" si="0"/>
        <v>156</v>
      </c>
    </row>
    <row r="12" spans="1:10" x14ac:dyDescent="0.3">
      <c r="A12" t="s">
        <v>25</v>
      </c>
      <c r="B12" t="s">
        <v>26</v>
      </c>
      <c r="C12" s="3">
        <v>7.5</v>
      </c>
      <c r="D12">
        <v>4</v>
      </c>
      <c r="E12" s="6" cm="1">
        <f t="array" ref="E12">_xlfn.SWITCH(D12,1,95,2,110,3,129,4,156,5,"157 and over", "Unknown Category")</f>
        <v>156</v>
      </c>
      <c r="F12" cm="1">
        <f t="array" ref="F12">_xlfn.IFS(D12=1, 95, D12=2, 110, D12=3, 129, D12=4, 156, D12=5, "157 and over")</f>
        <v>156</v>
      </c>
      <c r="G12">
        <f t="shared" si="0"/>
        <v>156</v>
      </c>
    </row>
    <row r="13" spans="1:10" x14ac:dyDescent="0.3">
      <c r="A13" t="s">
        <v>27</v>
      </c>
      <c r="B13" t="s">
        <v>28</v>
      </c>
      <c r="C13" s="3">
        <v>40</v>
      </c>
      <c r="D13">
        <v>5</v>
      </c>
      <c r="E13" s="6" t="str" cm="1">
        <f t="array" ref="E13">_xlfn.SWITCH(D13,1,95,2,110,3,129,4,156,5,"157 and over", "Unknown Category")</f>
        <v>157 and over</v>
      </c>
      <c r="F13" t="str" cm="1">
        <f t="array" ref="F13">_xlfn.IFS(D13=1, 95, D13=2, 110, D13=3, 129, D13=4, 156, D13=5, "157 and over")</f>
        <v>157 and over</v>
      </c>
      <c r="G13" t="str">
        <f t="shared" si="0"/>
        <v>157 and over</v>
      </c>
    </row>
    <row r="14" spans="1:10" x14ac:dyDescent="0.3">
      <c r="A14" t="s">
        <v>29</v>
      </c>
      <c r="B14" t="s">
        <v>30</v>
      </c>
      <c r="C14" s="3">
        <v>2.6</v>
      </c>
      <c r="D14">
        <v>2</v>
      </c>
      <c r="E14" s="6" cm="1">
        <f t="array" ref="E14">_xlfn.SWITCH(D14,1,95,2,110,3,129,4,156,5,"157 and over", "Unknown Category")</f>
        <v>110</v>
      </c>
      <c r="F14" cm="1">
        <f t="array" ref="F14">_xlfn.IFS(D14=1, 95, D14=2, 110, D14=3, 129, D14=4, 156, D14=5, "157 and over")</f>
        <v>110</v>
      </c>
      <c r="G14">
        <f t="shared" si="0"/>
        <v>110</v>
      </c>
      <c r="I14" s="8"/>
    </row>
    <row r="15" spans="1:10" x14ac:dyDescent="0.3">
      <c r="A15" t="s">
        <v>31</v>
      </c>
      <c r="B15" t="s">
        <v>32</v>
      </c>
      <c r="C15" s="3">
        <v>16</v>
      </c>
      <c r="D15">
        <v>1</v>
      </c>
      <c r="E15" s="6" cm="1">
        <f t="array" ref="E15">_xlfn.SWITCH(D15,1,95,2,110,3,129,4,156,5,"157 and over", "Unknown Category")</f>
        <v>95</v>
      </c>
      <c r="F15" cm="1">
        <f t="array" ref="F15">_xlfn.IFS(D15=1, 95, D15=2, 110, D15=3, 129, D15=4, 156, D15=5, "157 and over")</f>
        <v>95</v>
      </c>
      <c r="G15">
        <f t="shared" si="0"/>
        <v>95</v>
      </c>
    </row>
    <row r="16" spans="1:10" x14ac:dyDescent="0.3">
      <c r="A16" t="s">
        <v>33</v>
      </c>
      <c r="B16" t="s">
        <v>34</v>
      </c>
      <c r="C16" s="3">
        <v>529</v>
      </c>
      <c r="D16">
        <v>4</v>
      </c>
      <c r="E16" s="6" cm="1">
        <f t="array" ref="E16">_xlfn.SWITCH(D16,1,95,2,110,3,129,4,156,5,"157 and over", "Unknown Category")</f>
        <v>156</v>
      </c>
      <c r="F16" cm="1">
        <f t="array" ref="F16">_xlfn.IFS(D16=1, 95, D16=2, 110, D16=3, 129, D16=4, 156, D16=5, "157 and over")</f>
        <v>156</v>
      </c>
      <c r="G16">
        <f t="shared" si="0"/>
        <v>156</v>
      </c>
    </row>
    <row r="17" spans="1:7" x14ac:dyDescent="0.3">
      <c r="A17" t="s">
        <v>35</v>
      </c>
      <c r="B17" t="s">
        <v>36</v>
      </c>
      <c r="C17" s="3">
        <v>1800</v>
      </c>
      <c r="D17">
        <v>2</v>
      </c>
      <c r="E17" s="6" cm="1">
        <f t="array" ref="E17">_xlfn.SWITCH(D17,1,95,2,110,3,129,4,156,5,"157 and over", "Unknown Category")</f>
        <v>110</v>
      </c>
      <c r="F17" cm="1">
        <f t="array" ref="F17">_xlfn.IFS(D17=1, 95, D17=2, 110, D17=3, 129, D17=4, 156, D17=5, "157 and over")</f>
        <v>110</v>
      </c>
      <c r="G17">
        <f t="shared" si="0"/>
        <v>110</v>
      </c>
    </row>
    <row r="18" spans="1:7" x14ac:dyDescent="0.3">
      <c r="A18" t="s">
        <v>37</v>
      </c>
      <c r="B18" t="s">
        <v>38</v>
      </c>
      <c r="C18" s="3">
        <v>1540</v>
      </c>
      <c r="D18">
        <v>5</v>
      </c>
      <c r="E18" s="6" t="str" cm="1">
        <f t="array" ref="E18">_xlfn.SWITCH(D18,1,95,2,110,3,129,4,156,5,"157 and over", "Unknown Category")</f>
        <v>157 and over</v>
      </c>
      <c r="F18" t="str" cm="1">
        <f t="array" ref="F18">_xlfn.IFS(D18=1, 95, D18=2, 110, D18=3, 129, D18=4, 156, D18=5, "157 and over")</f>
        <v>157 and over</v>
      </c>
      <c r="G18" t="str">
        <f t="shared" si="0"/>
        <v>157 and over</v>
      </c>
    </row>
    <row r="19" spans="1:7" x14ac:dyDescent="0.3">
      <c r="A19" t="s">
        <v>39</v>
      </c>
      <c r="B19" t="s">
        <v>40</v>
      </c>
      <c r="C19" s="3">
        <v>594</v>
      </c>
      <c r="D19">
        <v>1</v>
      </c>
      <c r="E19" s="6" cm="1">
        <f t="array" ref="E19">_xlfn.SWITCH(D19,1,95,2,110,3,129,4,156,5,"157 and over", "Unknown Category")</f>
        <v>95</v>
      </c>
      <c r="F19" cm="1">
        <f t="array" ref="F19">_xlfn.IFS(D19=1, 95, D19=2, 110, D19=3, 129, D19=4, 156, D19=5, "157 and over")</f>
        <v>95</v>
      </c>
      <c r="G19">
        <f t="shared" si="0"/>
        <v>95</v>
      </c>
    </row>
    <row r="20" spans="1:7" x14ac:dyDescent="0.3">
      <c r="A20" t="s">
        <v>41</v>
      </c>
      <c r="B20" t="s">
        <v>42</v>
      </c>
      <c r="C20" s="3">
        <v>6200</v>
      </c>
      <c r="D20">
        <v>5</v>
      </c>
      <c r="E20" s="6" t="str" cm="1">
        <f t="array" ref="E20">_xlfn.SWITCH(D20,1,95,2,110,3,129,4,156,5,"157 and over", "Unknown Category")</f>
        <v>157 and over</v>
      </c>
      <c r="F20" t="str" cm="1">
        <f t="array" ref="F20">_xlfn.IFS(D20=1, 95, D20=2, 110, D20=3, 129, D20=4, 156, D20=5, "157 and over")</f>
        <v>157 and over</v>
      </c>
      <c r="G20" t="str">
        <f t="shared" si="0"/>
        <v>157 and over</v>
      </c>
    </row>
    <row r="21" spans="1:7" x14ac:dyDescent="0.3">
      <c r="A21" t="s">
        <v>43</v>
      </c>
      <c r="B21" t="s">
        <v>44</v>
      </c>
      <c r="C21" s="3">
        <v>7660</v>
      </c>
      <c r="D21">
        <v>3</v>
      </c>
      <c r="E21" s="6" cm="1">
        <f t="array" ref="E21">_xlfn.SWITCH(D21,1,95,2,110,3,129,4,156,5,"157 and over", "Unknown Category")</f>
        <v>129</v>
      </c>
      <c r="F21" cm="1">
        <f t="array" ref="F21">_xlfn.IFS(D21=1, 95, D21=2, 110, D21=3, 129, D21=4, 156, D21=5, "157 and over")</f>
        <v>129</v>
      </c>
      <c r="G21">
        <f t="shared" si="0"/>
        <v>129</v>
      </c>
    </row>
    <row r="22" spans="1:7" x14ac:dyDescent="0.3">
      <c r="A22" t="s">
        <v>45</v>
      </c>
      <c r="B22" t="s">
        <v>46</v>
      </c>
      <c r="C22" s="3">
        <v>108000</v>
      </c>
      <c r="D22">
        <v>5</v>
      </c>
      <c r="E22" s="6" t="str" cm="1">
        <f t="array" ref="E22">_xlfn.SWITCH(D22,1,95,2,110,3,129,4,156,5,"157 and over", "Unknown Category")</f>
        <v>157 and over</v>
      </c>
      <c r="F22" t="str" cm="1">
        <f t="array" ref="F22">_xlfn.IFS(D22=1, 95, D22=2, 110, D22=3, 129, D22=4, 156, D22=5, "157 and over")</f>
        <v>157 and over</v>
      </c>
      <c r="G22" t="str">
        <f t="shared" si="0"/>
        <v>157 and over</v>
      </c>
    </row>
    <row r="23" spans="1:7" x14ac:dyDescent="0.3">
      <c r="A23" t="s">
        <v>47</v>
      </c>
      <c r="B23" t="s">
        <v>48</v>
      </c>
      <c r="C23" s="3">
        <v>3960</v>
      </c>
      <c r="D23">
        <v>1</v>
      </c>
      <c r="E23" s="6" cm="1">
        <f t="array" ref="E23">_xlfn.SWITCH(D23,1,95,2,110,3,129,4,156,5,"157 and over", "Unknown Category")</f>
        <v>95</v>
      </c>
      <c r="F23" cm="1">
        <f t="array" ref="F23">_xlfn.IFS(D23=1, 95, D23=2, 110, D23=3, 129, D23=4, 156, D23=5, "157 and over")</f>
        <v>95</v>
      </c>
      <c r="G23">
        <f t="shared" si="0"/>
        <v>95</v>
      </c>
    </row>
    <row r="24" spans="1:7" x14ac:dyDescent="0.3">
      <c r="A24" t="s">
        <v>49</v>
      </c>
      <c r="B24" t="s">
        <v>50</v>
      </c>
      <c r="C24" s="3">
        <v>300000</v>
      </c>
      <c r="D24">
        <v>5</v>
      </c>
      <c r="E24" s="6" t="str" cm="1">
        <f t="array" ref="E24">_xlfn.SWITCH(D24,1,95,2,110,3,129,4,156,5,"157 and over", "Unknown Category")</f>
        <v>157 and over</v>
      </c>
      <c r="F24" t="str" cm="1">
        <f t="array" ref="F24">_xlfn.IFS(D24=1, 95, D24=2, 110, D24=3, 129, D24=4, 156, D24=5, "157 and over")</f>
        <v>157 and over</v>
      </c>
      <c r="G24" t="str">
        <f t="shared" si="0"/>
        <v>157 and over</v>
      </c>
    </row>
    <row r="25" spans="1:7" x14ac:dyDescent="0.3">
      <c r="C25" s="3"/>
      <c r="D25" t="s">
        <v>55</v>
      </c>
      <c r="E25" s="6" t="str" cm="1">
        <f t="array" ref="E25">_xlfn.SWITCH(D25,1,95,2,110,3,129,4,156,5,"157 and over", "Unknown Category")</f>
        <v>Unknown Category</v>
      </c>
      <c r="F25" t="e" cm="1">
        <f t="array" ref="F25">_xlfn.IFS(D25=1, 95, D25=2, 110, D25=3, 129, D25=4, 156, D25=5, "157 and over")</f>
        <v>#N/A</v>
      </c>
      <c r="G25" t="e">
        <f t="shared" ref="G25" si="1">VLOOKUP(D25,$I$5:$J$10, 2, FALSE)</f>
        <v>#N/A</v>
      </c>
    </row>
    <row r="26" spans="1:7" x14ac:dyDescent="0.3">
      <c r="C26" s="3"/>
      <c r="D26">
        <v>9</v>
      </c>
      <c r="E26" s="6" t="str" cm="1">
        <f t="array" ref="E26">_xlfn.SWITCH(D26,1,95,2,110,3,129,4,156,5,"157 and over", "Unknown Category")</f>
        <v>Unknown Category</v>
      </c>
      <c r="F26" t="e" cm="1">
        <f t="array" ref="F26">_xlfn.IFS(D26=1, 95, D26=2, 110, D26=3, 129, D26=4, 156, D26=5, "157 and over")</f>
        <v>#N/A</v>
      </c>
      <c r="G26" t="e">
        <f t="shared" ref="G26" si="2">VLOOKUP(D26,$I$5:$J$10, 2, FALSE)</f>
        <v>#N/A</v>
      </c>
    </row>
    <row r="27" spans="1:7" x14ac:dyDescent="0.3">
      <c r="C27" s="3"/>
    </row>
    <row r="28" spans="1:7" x14ac:dyDescent="0.3">
      <c r="C28" s="3"/>
    </row>
    <row r="29" spans="1:7" x14ac:dyDescent="0.3">
      <c r="C29" s="3"/>
    </row>
    <row r="30" spans="1:7" x14ac:dyDescent="0.3">
      <c r="C30" s="3"/>
    </row>
    <row r="31" spans="1:7" x14ac:dyDescent="0.3">
      <c r="C31" s="3"/>
    </row>
    <row r="32" spans="1:7" x14ac:dyDescent="0.3">
      <c r="C32" s="3"/>
    </row>
    <row r="33" spans="3:3" x14ac:dyDescent="0.3">
      <c r="C33" s="3"/>
    </row>
    <row r="34" spans="3:3" x14ac:dyDescent="0.3">
      <c r="C34" s="3"/>
    </row>
    <row r="35" spans="3:3" x14ac:dyDescent="0.3">
      <c r="C35" s="3"/>
    </row>
    <row r="36" spans="3:3" x14ac:dyDescent="0.3">
      <c r="C36" s="3"/>
    </row>
    <row r="37" spans="3:3" x14ac:dyDescent="0.3">
      <c r="C37" s="3"/>
    </row>
    <row r="38" spans="3:3" x14ac:dyDescent="0.3">
      <c r="C38" s="3"/>
    </row>
    <row r="39" spans="3:3" x14ac:dyDescent="0.3">
      <c r="C39" s="3"/>
    </row>
    <row r="40" spans="3:3" x14ac:dyDescent="0.3">
      <c r="C40" s="3"/>
    </row>
    <row r="41" spans="3:3" x14ac:dyDescent="0.3">
      <c r="C41" s="3"/>
    </row>
    <row r="42" spans="3:3" x14ac:dyDescent="0.3">
      <c r="C42" s="3"/>
    </row>
    <row r="43" spans="3:3" x14ac:dyDescent="0.3">
      <c r="C43" s="3"/>
    </row>
    <row r="44" spans="3:3" x14ac:dyDescent="0.3">
      <c r="C44" s="3"/>
    </row>
    <row r="45" spans="3:3" x14ac:dyDescent="0.3">
      <c r="C45" s="3"/>
    </row>
    <row r="46" spans="3:3" x14ac:dyDescent="0.3">
      <c r="C46" s="3"/>
    </row>
  </sheetData>
  <mergeCells count="1">
    <mergeCell ref="E2:G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1056E9-45E7-4EE1-B8ED-748AFD0222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63ab6d-8cd2-4bbf-8f8d-e6fc5536eb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ED2CD7-AB5E-404D-849A-F793ABBC6F6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0DA10D2-1FFF-490D-B4DA-8729470684F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3D4E24B2-8FB1-41D6-A0B3-EA0C5EC943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Biggest Atlantic Hurricanes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Daniel Stan</cp:lastModifiedBy>
  <cp:revision/>
  <dcterms:created xsi:type="dcterms:W3CDTF">2017-10-17T14:59:20Z</dcterms:created>
  <dcterms:modified xsi:type="dcterms:W3CDTF">2026-10-27T19:27:47Z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