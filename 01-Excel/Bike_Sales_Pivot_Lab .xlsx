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tana\Desktop\Leep Talent\Excel\DATASETS\"/>
    </mc:Choice>
  </mc:AlternateContent>
  <xr:revisionPtr revIDLastSave="0" documentId="13_ncr:1_{6F5B5298-386D-4DE7-B8D5-3052D745C14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Bike Sales" sheetId="1" r:id="rId1"/>
    <sheet name="BikeSales PivotTable" sheetId="2" r:id="rId2"/>
    <sheet name="PB redo" sheetId="3" r:id="rId3"/>
    <sheet name="Sheet1" sheetId="4" r:id="rId4"/>
  </sheets>
  <definedNames>
    <definedName name="_xlnm._FilterDatabase" localSheetId="0" hidden="1">'Bike Sales'!$A$1:$S$89</definedName>
  </definedName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 a="1"/>
  <c r="D3" i="4" a="1"/>
  <c r="D4" i="4" a="1"/>
  <c r="D5" i="4" a="1"/>
  <c r="D6" i="4" a="1"/>
  <c r="D7" i="4" a="1"/>
  <c r="D8" i="4" a="1"/>
  <c r="D9" i="4" a="1"/>
  <c r="D10" i="4" a="1"/>
  <c r="D11" i="4" a="1"/>
  <c r="D12" i="4" a="1"/>
  <c r="D13" i="4" a="1"/>
  <c r="L5" i="2"/>
  <c r="L4" i="2"/>
  <c r="J4" i="2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<sst xmlns="http://schemas.openxmlformats.org/spreadsheetml/2006/main" count="911" uniqueCount="185">
  <si>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</si>
  <si>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</si>
  <si>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</si>
  <si>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</si>
  <si>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</si>
  <si>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</si>
  <si>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</si>
  <si>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</si>
  <si>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</si>
  <si>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</si>
  <si>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</si>
  <si>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</si>
  <si>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</si>
  <si>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</si>
  <si>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</si>
  <si>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</si>
  <si>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</si>
  <si>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</si>
  <si>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</si>
  <si>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</si>
  <si>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</si>
  <si>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</si>
  <si>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</si>
  <si>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</si>
  <si>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</si>
  <si>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</si>
  <si>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</si>
  <si>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</si>
  <si>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</si>
  <si>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</si>
  <si>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</si>
  <si>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</si>
  <si>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</si>
  <si>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</si>
  <si>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</si>
  <si>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</si>
  <si>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</si>
  <si>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</si>
  <si>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</si>
  <si>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</si>
  <si>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</si>
  <si>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</si>
  <si>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</si>
  <si>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</si>
  <si>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</si>
  <si>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</si>
  <si>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</si>
  <si>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</si>
  <si>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</si>
  <si>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</si>
  <si>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</si>
  <si>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</si>
  <si>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</si>
  <si>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</si>
  <si>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</si>
  <si>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</si>
  <si>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</si>
  <si>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</si>
  <si>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</si>
  <si>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</si>
  <si>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</si>
  <si>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</si>
  <si>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</si>
  <si>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</si>
  <si>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</si>
  <si>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</si>
  <si>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</si>
  <si>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</si>
  <si>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</si>
  <si>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</si>
  <si>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</si>
  <si>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</si>
  <si>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</si>
  <si>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</si>
  <si>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</si>
  <si>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</si>
  <si>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</si>
  <si>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</si>
  <si>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</si>
  <si>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</si>
  <si>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</si>
  <si>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</si>
  <si>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</si>
  <si>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</si>
  <si>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</si>
  <si>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</si>
  <si>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</si>
  <si>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</si>
  <si>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</si>
  <si>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</si>
  <si>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</si>
  <si>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</si>
  <si>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</si>
  <si>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</si>
  <si>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</si>
  <si>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</si>
  <si>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</si>
  <si>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</si>
  <si>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</si>
  <si>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</si>
  <si>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</si>
  <si>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</si>
  <si>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</si>
  <si>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</si>
  <si>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</si>
  <si>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</si>
  <si>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</si>
  <si>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</si>
  <si>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</si>
  <si>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</si>
  <si>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</si>
  <si>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</si>
  <si>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</si>
  <si>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</si>
  <si>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</si>
  <si>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</si>
  <si>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</si>
  <si>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</si>
  <si>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</si>
  <si>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</si>
  <si>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</si>
  <si>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</si>
  <si>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</si>
  <si>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</si>
  <si>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</si>
  <si>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</si>
  <si>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</si>
  <si>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</si>
  <si>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</si>
  <si>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</si>
  <si>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</si>
  <si>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</si>
  <si>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</si>
  <si>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</si>
  <si>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</si>
  <si>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</si>
  <si>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</si>
  <si>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</si>
  <si>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</si>
  <si>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</si>
  <si>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</si>
  <si>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</si>
  <si>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</si>
  <si>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</si>
  <si>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</si>
  <si>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</si>
  <si>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</si>
  <si>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</si>
  <si>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</si>
  <si>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</si>
  <si>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</si>
  <si>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</si>
  <si>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</si>
  <si>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</si>
  <si>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</si>
  <si>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</si>
  <si>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 xml:space="preserve">Sum of  Profit </t>
  </si>
  <si>
    <t>Grand Total</t>
  </si>
  <si>
    <t>f</t>
  </si>
  <si>
    <t>m</t>
  </si>
  <si>
    <t>Adults (35-64) Total</t>
  </si>
  <si>
    <t>Young Adults (25-34) Total</t>
  </si>
  <si>
    <t>Youth (&lt;25) Total</t>
  </si>
  <si>
    <t>Sum of Order_Quantity</t>
  </si>
  <si>
    <t>County</t>
  </si>
  <si>
    <t>Product</t>
  </si>
  <si>
    <t>Sales Volume</t>
  </si>
  <si>
    <t>Sales Category</t>
  </si>
  <si>
    <t>Category</t>
  </si>
  <si>
    <t>Yorkshire</t>
  </si>
  <si>
    <t>Laptops</t>
  </si>
  <si>
    <t>&gt;600</t>
  </si>
  <si>
    <t>High</t>
  </si>
  <si>
    <t>Sum of Sales Volume</t>
  </si>
  <si>
    <t>Smartphones</t>
  </si>
  <si>
    <t>300-600</t>
  </si>
  <si>
    <t>Medium</t>
  </si>
  <si>
    <t>Cornwall</t>
  </si>
  <si>
    <t>Durham</t>
  </si>
  <si>
    <t>Essex</t>
  </si>
  <si>
    <t>Greater Manchester</t>
  </si>
  <si>
    <t>Lancashire</t>
  </si>
  <si>
    <t>&lt;300</t>
  </si>
  <si>
    <t>Low</t>
  </si>
  <si>
    <t>Printers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</si>
</sst>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1F1F1F"/>
      <name val="Calibri"/>
      <scheme val="minor"/>
    </font>
    <font>
      <sz val="10"/>
      <color theme="1"/>
      <name val="Calibri"/>
      <scheme val="minor"/>
    </font>
    <font>
      <sz val="10"/>
      <color rgb="FF1F1F1F"/>
      <name val="Calibri"/>
      <scheme val="minor"/>
    </font>
    <font>
      <b/>
      <sz val="10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10" xfId="0" applyFont="1" applyBorder="1" applyAlignment="1">
      <alignment readingOrder="1"/>
    </xf>
    <xf numFmtId="0" fontId="24" fillId="0" borderId="0" xfId="0" applyFont="1"/>
    <xf numFmtId="0" fontId="25" fillId="0" borderId="10" xfId="0" applyFont="1" applyBorder="1" applyAlignment="1">
      <alignment readingOrder="1"/>
    </xf>
    <xf numFmtId="0" fontId="2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.xlsx]BikeSales PivotTable!PivotTable1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'BikeSales PivotTable'!$C$2:$C$3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'BikeSales PivotTable'!$A$4:$B$13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'BikeSales PivotTable'!$C$4:$C$13</c:f>
              <c:numCache>
                <c:formatCode>"$"#,##0.00_);[Red]\("$"#,##0.00\)</c:formatCode>
                <c:ptCount val="6"/>
                <c:pt idx="0">
                  <c:v>13276</c:v>
                </c:pt>
                <c:pt idx="1">
                  <c:v>15656</c:v>
                </c:pt>
                <c:pt idx="2">
                  <c:v>16204</c:v>
                </c:pt>
                <c:pt idx="3">
                  <c:v>2435</c:v>
                </c:pt>
                <c:pt idx="4">
                  <c:v>2265</c:v>
                </c:pt>
                <c:pt idx="5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7-47A9-8B77-813A72EFE4D3}"/>
            </c:ext>
          </c:extLst>
        </c:ser>
        <c:ser>
          <c:idx val="1"/>
          <c:order val="1"/>
          <c:tx>
            <c:strRef>
              <c:f>'BikeSales PivotTable'!$D$2:$D$3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'BikeSales PivotTable'!$A$4:$B$13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'BikeSales PivotTable'!$D$4:$D$13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6302</c:v>
                </c:pt>
                <c:pt idx="3">
                  <c:v>2821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C37-47A9-8B77-813A72EFE4D3}"/>
            </c:ext>
          </c:extLst>
        </c:ser>
        <c:ser>
          <c:idx val="2"/>
          <c:order val="2"/>
          <c:tx>
            <c:strRef>
              <c:f>'BikeSales PivotTable'!$E$2:$E$3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'BikeSales PivotTable'!$A$4:$B$13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'BikeSales PivotTable'!$E$4:$E$13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1054</c:v>
                </c:pt>
                <c:pt idx="3">
                  <c:v>9420</c:v>
                </c:pt>
                <c:pt idx="4">
                  <c:v>6291</c:v>
                </c:pt>
                <c:pt idx="5">
                  <c:v>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C37-47A9-8B77-813A72EFE4D3}"/>
            </c:ext>
          </c:extLst>
        </c:ser>
        <c:ser>
          <c:idx val="3"/>
          <c:order val="3"/>
          <c:tx>
            <c:strRef>
              <c:f>'BikeSales PivotTable'!$F$2:$F$3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'BikeSales PivotTable'!$A$4:$B$13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'BikeSales PivotTable'!$F$4:$F$13</c:f>
              <c:numCache>
                <c:formatCode>"$"#,##0.00_);[Red]\("$"#,##0.00\)</c:formatCode>
                <c:ptCount val="6"/>
                <c:pt idx="0">
                  <c:v>8410</c:v>
                </c:pt>
                <c:pt idx="1">
                  <c:v>5226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C37-47A9-8B77-813A72EFE4D3}"/>
            </c:ext>
          </c:extLst>
        </c:ser>
        <c:ser>
          <c:idx val="4"/>
          <c:order val="4"/>
          <c:tx>
            <c:strRef>
              <c:f>'BikeSales PivotTable'!$G$2:$G$3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'BikeSales PivotTable'!$A$4:$B$13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'BikeSales PivotTable'!$G$4:$G$13</c:f>
              <c:numCache>
                <c:formatCode>"$"#,##0.00_);[Red]\("$"#,##0.00\)</c:formatCode>
                <c:ptCount val="6"/>
                <c:pt idx="0">
                  <c:v>1043</c:v>
                </c:pt>
                <c:pt idx="1">
                  <c:v>3151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C37-47A9-8B77-813A72EFE4D3}"/>
            </c:ext>
          </c:extLst>
        </c:ser>
        <c:ser>
          <c:idx val="5"/>
          <c:order val="5"/>
          <c:tx>
            <c:strRef>
              <c:f>'BikeSales PivotTable'!$H$2:$H$3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'BikeSales PivotTable'!$A$4:$B$13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'BikeSales PivotTable'!$H$4:$H$13</c:f>
              <c:numCache>
                <c:formatCode>"$"#,##0.00_);[Red]\("$"#,##0.00\)</c:formatCode>
                <c:ptCount val="6"/>
                <c:pt idx="0">
                  <c:v>29656</c:v>
                </c:pt>
                <c:pt idx="1">
                  <c:v>17078</c:v>
                </c:pt>
                <c:pt idx="2">
                  <c:v>10952</c:v>
                </c:pt>
                <c:pt idx="3">
                  <c:v>2684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C37-47A9-8B77-813A72EFE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323143"/>
        <c:axId val="1111325191"/>
      </c:barChart>
      <c:catAx>
        <c:axId val="1111323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25191"/>
        <c:crosses val="autoZero"/>
        <c:auto val="1"/>
        <c:lblAlgn val="ctr"/>
        <c:lblOffset val="100"/>
        <c:noMultiLvlLbl val="0"/>
      </c:catAx>
      <c:valAx>
        <c:axId val="111132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2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287215326125555"/>
          <c:y val="0.2629227658436159"/>
          <c:w val="0.12737379201645596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.xlsx]PB redo!PivotTable2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'PB redo'!$C$1:$C$2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multiLvlStrRef>
              <c:f>'PB redo'!$A$3:$B$12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'PB redo'!$C$3:$C$12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4-4335-816F-0DD9ED54E5F5}"/>
            </c:ext>
          </c:extLst>
        </c:ser>
        <c:ser>
          <c:idx val="1"/>
          <c:order val="1"/>
          <c:tx>
            <c:strRef>
              <c:f>'PB redo'!$D$1:$D$2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'PB redo'!$A$3:$B$12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'PB redo'!$D$3:$D$12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4-4335-816F-0DD9ED54E5F5}"/>
            </c:ext>
          </c:extLst>
        </c:ser>
        <c:ser>
          <c:idx val="2"/>
          <c:order val="2"/>
          <c:tx>
            <c:strRef>
              <c:f>'PB redo'!$E$1:$E$2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'PB redo'!$A$3:$B$12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'PB redo'!$E$3:$E$12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24-4335-816F-0DD9ED54E5F5}"/>
            </c:ext>
          </c:extLst>
        </c:ser>
        <c:ser>
          <c:idx val="3"/>
          <c:order val="3"/>
          <c:tx>
            <c:strRef>
              <c:f>'PB redo'!$F$1:$F$2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'PB redo'!$A$3:$B$12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'PB redo'!$F$3:$F$12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24-4335-816F-0DD9ED54E5F5}"/>
            </c:ext>
          </c:extLst>
        </c:ser>
        <c:ser>
          <c:idx val="4"/>
          <c:order val="4"/>
          <c:tx>
            <c:strRef>
              <c:f>'PB redo'!$G$1:$G$2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'PB redo'!$A$3:$B$12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'PB redo'!$G$3:$G$12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24-4335-816F-0DD9ED54E5F5}"/>
            </c:ext>
          </c:extLst>
        </c:ser>
        <c:ser>
          <c:idx val="5"/>
          <c:order val="5"/>
          <c:tx>
            <c:strRef>
              <c:f>'PB redo'!$H$1:$H$2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multiLvlStrRef>
              <c:f>'PB redo'!$A$3:$B$12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'PB redo'!$H$3:$H$12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24-4335-816F-0DD9ED54E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8856"/>
        <c:axId val="1370632"/>
      </c:barChart>
      <c:catAx>
        <c:axId val="1038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32"/>
        <c:crosses val="autoZero"/>
        <c:auto val="1"/>
        <c:lblAlgn val="ctr"/>
        <c:lblOffset val="100"/>
        <c:noMultiLvlLbl val="0"/>
      </c:catAx>
      <c:valAx>
        <c:axId val="137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Sheet1!$I$2:$I$3</c:f>
              <c:strCache>
                <c:ptCount val="1"/>
                <c:pt idx="0">
                  <c:v>Cornwall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Sheet1!$H$4:$H$7</c:f>
              <c:strCache>
                <c:ptCount val="3"/>
                <c:pt idx="0">
                  <c:v>Laptops</c:v>
                </c:pt>
                <c:pt idx="1">
                  <c:v>Printers</c:v>
                </c:pt>
                <c:pt idx="2">
                  <c:v>Smartphones</c:v>
                </c:pt>
              </c:strCache>
            </c:strRef>
          </c:cat>
          <c:val>
            <c:numRef>
              <c:f>Sheet1!$I$4:$I$7</c:f>
              <c:numCache>
                <c:formatCode>General</c:formatCode>
                <c:ptCount val="3"/>
                <c:pt idx="0">
                  <c:v>700</c:v>
                </c:pt>
                <c:pt idx="1">
                  <c:v>400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F-4286-A4BF-83A2375382CD}"/>
            </c:ext>
          </c:extLst>
        </c:ser>
        <c:ser>
          <c:idx val="1"/>
          <c:order val="1"/>
          <c:tx>
            <c:strRef>
              <c:f>Sheet1!$J$2:$J$3</c:f>
              <c:strCache>
                <c:ptCount val="1"/>
                <c:pt idx="0">
                  <c:v>Durham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Sheet1!$H$4:$H$7</c:f>
              <c:strCache>
                <c:ptCount val="3"/>
                <c:pt idx="0">
                  <c:v>Laptops</c:v>
                </c:pt>
                <c:pt idx="1">
                  <c:v>Printers</c:v>
                </c:pt>
                <c:pt idx="2">
                  <c:v>Smartphones</c:v>
                </c:pt>
              </c:strCache>
            </c:strRef>
          </c:cat>
          <c:val>
            <c:numRef>
              <c:f>Sheet1!$J$4:$J$7</c:f>
              <c:numCache>
                <c:formatCode>General</c:formatCode>
                <c:ptCount val="3"/>
                <c:pt idx="0">
                  <c:v>250</c:v>
                </c:pt>
                <c:pt idx="1">
                  <c:v>300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CF-4286-A4BF-83A2375382CD}"/>
            </c:ext>
          </c:extLst>
        </c:ser>
        <c:ser>
          <c:idx val="2"/>
          <c:order val="2"/>
          <c:tx>
            <c:strRef>
              <c:f>Sheet1!$K$2:$K$3</c:f>
              <c:strCache>
                <c:ptCount val="1"/>
                <c:pt idx="0">
                  <c:v>Essex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Sheet1!$H$4:$H$7</c:f>
              <c:strCache>
                <c:ptCount val="3"/>
                <c:pt idx="0">
                  <c:v>Laptops</c:v>
                </c:pt>
                <c:pt idx="1">
                  <c:v>Printers</c:v>
                </c:pt>
                <c:pt idx="2">
                  <c:v>Smartphones</c:v>
                </c:pt>
              </c:strCache>
            </c:strRef>
          </c:cat>
          <c:val>
            <c:numRef>
              <c:f>Sheet1!$K$4:$K$7</c:f>
              <c:numCache>
                <c:formatCode>General</c:formatCode>
                <c:ptCount val="3"/>
                <c:pt idx="0">
                  <c:v>0</c:v>
                </c:pt>
                <c:pt idx="1">
                  <c:v>800</c:v>
                </c:pt>
                <c:pt idx="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CF-4286-A4BF-83A2375382CD}"/>
            </c:ext>
          </c:extLst>
        </c:ser>
        <c:ser>
          <c:idx val="3"/>
          <c:order val="3"/>
          <c:tx>
            <c:strRef>
              <c:f>Sheet1!$L$2:$L$3</c:f>
              <c:strCache>
                <c:ptCount val="1"/>
                <c:pt idx="0">
                  <c:v>Greater Manchester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Sheet1!$H$4:$H$7</c:f>
              <c:strCache>
                <c:ptCount val="3"/>
                <c:pt idx="0">
                  <c:v>Laptops</c:v>
                </c:pt>
                <c:pt idx="1">
                  <c:v>Printers</c:v>
                </c:pt>
                <c:pt idx="2">
                  <c:v>Smartphones</c:v>
                </c:pt>
              </c:strCache>
            </c:strRef>
          </c:cat>
          <c:val>
            <c:numRef>
              <c:f>Sheet1!$L$4:$L$7</c:f>
              <c:numCache>
                <c:formatCode>General</c:formatCode>
                <c:ptCount val="3"/>
                <c:pt idx="0">
                  <c:v>400</c:v>
                </c:pt>
                <c:pt idx="1">
                  <c:v>0</c:v>
                </c:pt>
                <c:pt idx="2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CF-4286-A4BF-83A2375382CD}"/>
            </c:ext>
          </c:extLst>
        </c:ser>
        <c:ser>
          <c:idx val="4"/>
          <c:order val="4"/>
          <c:tx>
            <c:strRef>
              <c:f>Sheet1!$M$2:$M$3</c:f>
              <c:strCache>
                <c:ptCount val="1"/>
                <c:pt idx="0">
                  <c:v>Lancashire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Sheet1!$H$4:$H$7</c:f>
              <c:strCache>
                <c:ptCount val="3"/>
                <c:pt idx="0">
                  <c:v>Laptops</c:v>
                </c:pt>
                <c:pt idx="1">
                  <c:v>Printers</c:v>
                </c:pt>
                <c:pt idx="2">
                  <c:v>Smartphones</c:v>
                </c:pt>
              </c:strCache>
            </c:strRef>
          </c:cat>
          <c:val>
            <c:numRef>
              <c:f>Sheet1!$M$4:$M$7</c:f>
              <c:numCache>
                <c:formatCode>General</c:formatCode>
                <c:ptCount val="3"/>
                <c:pt idx="0">
                  <c:v>600</c:v>
                </c:pt>
                <c:pt idx="1">
                  <c:v>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CF-4286-A4BF-83A2375382CD}"/>
            </c:ext>
          </c:extLst>
        </c:ser>
        <c:ser>
          <c:idx val="5"/>
          <c:order val="5"/>
          <c:tx>
            <c:strRef>
              <c:f>Sheet1!$N$2:$N$3</c:f>
              <c:strCache>
                <c:ptCount val="1"/>
                <c:pt idx="0">
                  <c:v>Yorkshire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Sheet1!$H$4:$H$7</c:f>
              <c:strCache>
                <c:ptCount val="3"/>
                <c:pt idx="0">
                  <c:v>Laptops</c:v>
                </c:pt>
                <c:pt idx="1">
                  <c:v>Printers</c:v>
                </c:pt>
                <c:pt idx="2">
                  <c:v>Smartphones</c:v>
                </c:pt>
              </c:strCache>
            </c:strRef>
          </c:cat>
          <c:val>
            <c:numRef>
              <c:f>Sheet1!$N$4:$N$7</c:f>
              <c:numCache>
                <c:formatCode>General</c:formatCode>
                <c:ptCount val="3"/>
                <c:pt idx="0">
                  <c:v>500</c:v>
                </c:pt>
                <c:pt idx="1">
                  <c:v>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CF-4286-A4BF-83A23753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851399"/>
        <c:axId val="995695623"/>
      </c:lineChart>
      <c:valAx>
        <c:axId val="995695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851399"/>
        <c:crosses val="autoZero"/>
        <c:crossBetween val="between"/>
      </c:valAx>
      <c:catAx>
        <c:axId val="753851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5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22860</xdr:rowOff>
    </xdr:from>
    <xdr:to>
      <xdr:col>9</xdr:col>
      <xdr:colOff>15240</xdr:colOff>
      <xdr:row>30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3E0A7-A250-185C-3D1E-DEC6BAA62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9525</xdr:rowOff>
    </xdr:from>
    <xdr:to>
      <xdr:col>8</xdr:col>
      <xdr:colOff>752475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9295E-4D28-6AC7-969E-D5B2B9179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647701</xdr:colOff>
      <xdr:row>7</xdr:row>
      <xdr:rowOff>7620</xdr:rowOff>
    </xdr:from>
    <xdr:to>
      <xdr:col>15</xdr:col>
      <xdr:colOff>7621</xdr:colOff>
      <xdr:row>21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87A16-A9AD-6846-A843-A07C44ED1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07699652779" createdVersion="8" refreshedVersion="8" minRefreshableVersion="3" recordCount="88" xr:uid="{0241C5B7-D8DD-46E0-B579-D7BFF5C07F83}">
  <cacheSource type="worksheet">
    <worksheetSource ref="A1:S89" sheet="Bike Sales"/>
  </cacheSource>
  <cacheFields count="19">
    <cacheField name="Sales_Order #" numFmtId="49">
      <sharedItems count="88">
        <s v="000261696"/>
        <s v="000261695"/>
        <s v="000261697"/>
        <s v="000261698"/>
        <s v="000261699"/>
        <s v="000261700"/>
        <s v="000261701"/>
        <s v="000261702"/>
        <s v="000261703"/>
        <s v="000261704"/>
        <s v="000261705"/>
        <s v="000261706"/>
        <s v="000261707"/>
        <s v="000261708"/>
        <s v="000261709"/>
        <s v="000261710"/>
        <s v="000261711"/>
        <s v="000261712"/>
        <s v="000261713"/>
        <s v="000261714"/>
        <s v="000261715"/>
        <s v="000261716"/>
        <s v="000261717"/>
        <s v="000261718"/>
        <s v="000261719"/>
        <s v="000261720"/>
        <s v="000261721"/>
        <s v="000261722"/>
        <s v="000261723"/>
        <s v="000261724"/>
        <s v="000261725"/>
        <s v="000261726"/>
        <s v="000261727"/>
        <s v="000261728"/>
        <s v="000261729"/>
        <s v="000261730"/>
        <s v="000261731"/>
        <s v="000261732"/>
        <s v="000261733"/>
        <s v="000261734"/>
        <s v="000261735"/>
        <s v="000261736"/>
        <s v="000261737"/>
        <s v="000261738"/>
        <s v="000261739"/>
        <s v="000261740"/>
        <s v="000261741"/>
        <s v="000261742"/>
        <s v="000261743"/>
        <s v="000261744"/>
        <s v="000261745"/>
        <s v="000261746"/>
        <s v="000261747"/>
        <s v="000261748"/>
        <s v="000261749"/>
        <s v="000261750"/>
        <s v="000261751"/>
        <s v="000261752"/>
        <s v="000261753"/>
        <s v="000261754"/>
        <s v="000261755"/>
        <s v="000261756"/>
        <s v="000261757"/>
        <s v="000261758"/>
        <s v="000261759"/>
        <s v="000261760"/>
        <s v="000261761"/>
        <s v="000261762"/>
        <s v="000261763"/>
        <s v="000261764"/>
        <s v="000261765"/>
        <s v="000261766"/>
        <s v="000261767"/>
        <s v="000261768"/>
        <s v="000261769"/>
        <s v="000261770"/>
        <s v="000261771"/>
        <s v="000261772"/>
        <s v="000261773"/>
        <s v="000261774"/>
        <s v="000261775"/>
        <s v="000261776"/>
        <s v="000261777"/>
        <s v="000261778"/>
        <s v="000261779"/>
        <s v="000261780"/>
        <s v="000261781"/>
        <s v="000261782"/>
      </sharedItems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5.007098842594" createdVersion="8" refreshedVersion="8" minRefreshableVersion="3" recordCount="12" xr:uid="{7A090BF9-5712-46AA-8C87-6ACFACFC92B9}">
  <cacheSource type="worksheet">
    <worksheetSource ref="A1:D13" sheet="Sheet1"/>
  </cacheSource>
  <cacheFields count="4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0">
      <sharedItems containsSemiMixedTypes="0" containsString="0" containsNumber="1" containsInteger="1" minValue="150" maxValue="800"/>
    </cacheField>
    <cacheField name="Sales Category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d v="2021-12-01T00:00:00"/>
    <n v="1"/>
    <s v="December"/>
    <n v="2021"/>
    <n v="39"/>
    <x v="0"/>
    <x v="0"/>
    <x v="0"/>
    <s v="California"/>
    <x v="0"/>
    <x v="0"/>
    <s v="Mountain-200 Black, 46"/>
    <n v="4"/>
    <n v="1252"/>
    <n v="2295"/>
    <n v="4172"/>
    <n v="5008"/>
    <n v="9180"/>
  </r>
  <r>
    <x v="1"/>
    <d v="2021-12-01T00:00:00"/>
    <n v="1"/>
    <s v="December"/>
    <n v="2021"/>
    <n v="44"/>
    <x v="0"/>
    <x v="1"/>
    <x v="1"/>
    <s v="England"/>
    <x v="0"/>
    <x v="0"/>
    <s v="Mountain-200 Silver, 42"/>
    <n v="1"/>
    <n v="1266"/>
    <n v="2320"/>
    <n v="1054"/>
    <n v="1266"/>
    <n v="2320"/>
  </r>
  <r>
    <x v="2"/>
    <d v="2021-12-02T00:00:00"/>
    <n v="2"/>
    <s v="December"/>
    <n v="2021"/>
    <n v="37"/>
    <x v="0"/>
    <x v="1"/>
    <x v="0"/>
    <s v="California"/>
    <x v="0"/>
    <x v="0"/>
    <s v="Mountain-400-W Silver, 46"/>
    <n v="2"/>
    <n v="420"/>
    <n v="769"/>
    <n v="698"/>
    <n v="840"/>
    <n v="1538"/>
  </r>
  <r>
    <x v="3"/>
    <d v="2021-12-02T00:00:00"/>
    <n v="2"/>
    <s v="December"/>
    <n v="2021"/>
    <n v="31"/>
    <x v="1"/>
    <x v="0"/>
    <x v="2"/>
    <s v="New South Wales"/>
    <x v="0"/>
    <x v="0"/>
    <s v="Mountain-400-W Silver, 42"/>
    <n v="1"/>
    <n v="420"/>
    <n v="769"/>
    <n v="349"/>
    <n v="420"/>
    <n v="769"/>
  </r>
  <r>
    <x v="4"/>
    <d v="2021-12-03T00:00:00"/>
    <n v="3"/>
    <s v="December"/>
    <n v="2021"/>
    <n v="37"/>
    <x v="0"/>
    <x v="0"/>
    <x v="0"/>
    <s v="California"/>
    <x v="0"/>
    <x v="0"/>
    <s v="Mountain-200 Black, 46"/>
    <n v="2"/>
    <n v="1252"/>
    <n v="2295"/>
    <n v="2086"/>
    <n v="2504"/>
    <n v="4590"/>
  </r>
  <r>
    <x v="5"/>
    <d v="2021-12-03T00:00:00"/>
    <n v="3"/>
    <s v="December"/>
    <n v="2021"/>
    <n v="24"/>
    <x v="2"/>
    <x v="0"/>
    <x v="1"/>
    <s v="England"/>
    <x v="0"/>
    <x v="0"/>
    <s v="Mountain-200 Black, 38"/>
    <n v="1"/>
    <n v="1252"/>
    <n v="2295"/>
    <n v="1043"/>
    <n v="1252"/>
    <n v="2295"/>
  </r>
  <r>
    <x v="6"/>
    <d v="2021-12-03T00:00:00"/>
    <n v="3"/>
    <s v="December"/>
    <n v="2021"/>
    <n v="37"/>
    <x v="0"/>
    <x v="1"/>
    <x v="0"/>
    <s v="Washington"/>
    <x v="0"/>
    <x v="0"/>
    <s v="Mountain-200 Black, 46"/>
    <n v="1"/>
    <n v="1252"/>
    <n v="2295"/>
    <n v="1043"/>
    <n v="1252"/>
    <n v="2295"/>
  </r>
  <r>
    <x v="7"/>
    <d v="2021-12-04T00:00:00"/>
    <n v="4"/>
    <s v="December"/>
    <n v="2021"/>
    <n v="31"/>
    <x v="1"/>
    <x v="0"/>
    <x v="2"/>
    <s v="New South Wales"/>
    <x v="0"/>
    <x v="0"/>
    <s v="Mountain-400-W Silver, 42"/>
    <n v="4"/>
    <n v="420"/>
    <n v="769"/>
    <n v="1396"/>
    <n v="1680"/>
    <n v="3076"/>
  </r>
  <r>
    <x v="8"/>
    <d v="2021-12-05T00:00:00"/>
    <n v="5"/>
    <s v="December"/>
    <n v="2021"/>
    <n v="39"/>
    <x v="0"/>
    <x v="0"/>
    <x v="0"/>
    <s v="California"/>
    <x v="0"/>
    <x v="0"/>
    <s v="Mountain-200 Black, 46"/>
    <n v="4"/>
    <n v="1252"/>
    <n v="2295"/>
    <n v="4172"/>
    <n v="5008"/>
    <n v="9180"/>
  </r>
  <r>
    <x v="9"/>
    <d v="2021-12-05T00:00:00"/>
    <m/>
    <s v="December"/>
    <n v="2021"/>
    <n v="42"/>
    <x v="0"/>
    <x v="1"/>
    <x v="3"/>
    <s v="Nordrhein-Westfalen"/>
    <x v="0"/>
    <x v="0"/>
    <s v="Mountain-200 Black, 38"/>
    <n v="4"/>
    <n v="1252"/>
    <n v="2295"/>
    <n v="4172"/>
    <n v="5008"/>
    <n v="9180"/>
  </r>
  <r>
    <x v="10"/>
    <d v="2021-12-05T00:00:00"/>
    <n v="5"/>
    <s v="December"/>
    <n v="2021"/>
    <n v="35"/>
    <x v="0"/>
    <x v="0"/>
    <x v="2"/>
    <s v="Queensland"/>
    <x v="0"/>
    <x v="0"/>
    <s v="Mountain-200 Silver, 38"/>
    <n v="1"/>
    <n v="1266"/>
    <n v="2320"/>
    <n v="1054"/>
    <n v="1266"/>
    <n v="2320"/>
  </r>
  <r>
    <x v="11"/>
    <d v="2021-12-05T00:00:00"/>
    <n v="5"/>
    <s v="December"/>
    <n v="2021"/>
    <n v="37"/>
    <x v="0"/>
    <x v="0"/>
    <x v="0"/>
    <s v="California"/>
    <x v="0"/>
    <x v="0"/>
    <s v="Mountain-200 Black, 46"/>
    <n v="1"/>
    <n v="1252"/>
    <n v="2295"/>
    <n v="1043"/>
    <n v="1252"/>
    <n v="2295"/>
  </r>
  <r>
    <x v="12"/>
    <d v="2021-12-06T00:00:00"/>
    <n v="6"/>
    <s v="December"/>
    <n v="2021"/>
    <n v="23"/>
    <x v="2"/>
    <x v="1"/>
    <x v="1"/>
    <s v="England"/>
    <x v="0"/>
    <x v="0"/>
    <s v="Mountain-400-W Silver, 46"/>
    <n v="3"/>
    <n v="420"/>
    <n v="769"/>
    <n v="1047"/>
    <n v="1260"/>
    <n v="2307"/>
  </r>
  <r>
    <x v="13"/>
    <d v="2021-12-06T00:00:00"/>
    <n v="6"/>
    <s v="December"/>
    <n v="2021"/>
    <n v="27"/>
    <x v="1"/>
    <x v="1"/>
    <x v="4"/>
    <s v="British Columbia"/>
    <x v="0"/>
    <x v="0"/>
    <s v="Mountain-200 Black, 46"/>
    <n v="1"/>
    <n v="1252"/>
    <n v="2295"/>
    <n v="1043"/>
    <n v="1252"/>
    <n v="2295"/>
  </r>
  <r>
    <x v="14"/>
    <d v="2021-12-06T00:00:00"/>
    <n v="6"/>
    <s v="December"/>
    <n v="2021"/>
    <n v="36"/>
    <x v="0"/>
    <x v="1"/>
    <x v="2"/>
    <s v="New South Wales"/>
    <x v="0"/>
    <x v="0"/>
    <s v="Mountain-200 Black, 42"/>
    <n v="1"/>
    <n v="1252"/>
    <n v="2295"/>
    <n v="1043"/>
    <n v="1252"/>
    <n v="2295"/>
  </r>
  <r>
    <x v="15"/>
    <d v="2021-12-06T00:00:00"/>
    <n v="6"/>
    <s v="December"/>
    <n v="2021"/>
    <n v="47"/>
    <x v="0"/>
    <x v="1"/>
    <x v="1"/>
    <s v="England"/>
    <x v="0"/>
    <x v="0"/>
    <s v="Mountain-200 Silver, 38"/>
    <n v="1"/>
    <n v="1266"/>
    <n v="2320"/>
    <n v="1054"/>
    <n v="1266"/>
    <n v="2320"/>
  </r>
  <r>
    <x v="16"/>
    <d v="2021-12-07T00:00:00"/>
    <n v="7"/>
    <s v="December"/>
    <n v="2021"/>
    <n v="30"/>
    <x v="1"/>
    <x v="1"/>
    <x v="0"/>
    <s v="California"/>
    <x v="0"/>
    <x v="0"/>
    <s v="Mountain-400-W Silver, 38"/>
    <n v="4"/>
    <n v="420"/>
    <n v="769"/>
    <n v="1396"/>
    <n v="1680"/>
    <n v="3076"/>
  </r>
  <r>
    <x v="17"/>
    <d v="2021-12-07T00:00:00"/>
    <n v="7"/>
    <s v="December"/>
    <n v="2021"/>
    <n v="38"/>
    <x v="0"/>
    <x v="1"/>
    <x v="0"/>
    <s v="California"/>
    <x v="0"/>
    <x v="0"/>
    <s v="Mountain-200 Silver, 42"/>
    <n v="2"/>
    <n v="1266"/>
    <n v="2320"/>
    <n v="2108"/>
    <n v="2532"/>
    <n v="4640"/>
  </r>
  <r>
    <x v="18"/>
    <d v="2021-12-08T00:00:00"/>
    <n v="8"/>
    <s v="December"/>
    <n v="2021"/>
    <n v="19"/>
    <x v="2"/>
    <x v="0"/>
    <x v="2"/>
    <s v="New South Wales"/>
    <x v="0"/>
    <x v="0"/>
    <s v="Mountain-500 Silver, 42"/>
    <n v="4"/>
    <n v="308"/>
    <n v="565"/>
    <n v="1028"/>
    <n v="1232"/>
    <n v="2260"/>
  </r>
  <r>
    <x v="19"/>
    <d v="2021-12-08T00:00:00"/>
    <n v="8"/>
    <s v="December"/>
    <n v="2021"/>
    <n v="30"/>
    <x v="1"/>
    <x v="0"/>
    <x v="4"/>
    <s v="British Columbia"/>
    <x v="0"/>
    <x v="0"/>
    <s v="Mountain-200 Silver, 38"/>
    <n v="4"/>
    <n v="1266"/>
    <n v="2320"/>
    <n v="4216"/>
    <n v="5064"/>
    <n v="9280"/>
  </r>
  <r>
    <x v="20"/>
    <d v="2021-12-08T00:00:00"/>
    <n v="8"/>
    <s v="December"/>
    <n v="2021"/>
    <n v="39"/>
    <x v="0"/>
    <x v="0"/>
    <x v="0"/>
    <s v="Oregon"/>
    <x v="0"/>
    <x v="0"/>
    <s v="Mountain-500 Black, 42"/>
    <n v="2"/>
    <n v="1252"/>
    <n v="2295"/>
    <n v="2086"/>
    <n v="2504"/>
    <n v="4590"/>
  </r>
  <r>
    <x v="21"/>
    <d v="2021-12-08T00:00:00"/>
    <n v="8"/>
    <s v="December"/>
    <n v="2021"/>
    <n v="35"/>
    <x v="0"/>
    <x v="0"/>
    <x v="0"/>
    <s v="California"/>
    <x v="0"/>
    <x v="0"/>
    <s v="Mountain-500 Black, 42"/>
    <n v="1"/>
    <n v="295"/>
    <n v="540"/>
    <n v="245"/>
    <n v="295"/>
    <n v="540"/>
  </r>
  <r>
    <x v="22"/>
    <d v="2021-12-09T00:00:00"/>
    <n v="9"/>
    <s v="December"/>
    <n v="2021"/>
    <n v="33"/>
    <x v="1"/>
    <x v="0"/>
    <x v="2"/>
    <s v="Victoria"/>
    <x v="0"/>
    <x v="0"/>
    <s v="Mountain-100 Black, 38"/>
    <n v="2"/>
    <n v="1898"/>
    <n v="3375"/>
    <n v="2954"/>
    <n v="3796"/>
    <n v="6750"/>
  </r>
  <r>
    <x v="23"/>
    <d v="2021-12-09T00:00:00"/>
    <n v="9"/>
    <s v="December"/>
    <n v="2021"/>
    <n v="41"/>
    <x v="0"/>
    <x v="0"/>
    <x v="3"/>
    <s v="Hamburg"/>
    <x v="0"/>
    <x v="0"/>
    <s v="Mountain-200 Silver, 42"/>
    <n v="1"/>
    <n v="1266"/>
    <n v="2320"/>
    <n v="1054"/>
    <n v="1266"/>
    <n v="2320"/>
  </r>
  <r>
    <x v="24"/>
    <d v="2021-12-10T00:00:00"/>
    <n v="10"/>
    <s v="December"/>
    <n v="2021"/>
    <n v="34"/>
    <x v="1"/>
    <x v="0"/>
    <x v="0"/>
    <s v="California"/>
    <x v="0"/>
    <x v="0"/>
    <s v="Mountain-200 Black, 42"/>
    <n v="2"/>
    <n v="1252"/>
    <n v="2295"/>
    <n v="2086"/>
    <n v="2504"/>
    <n v="4590"/>
  </r>
  <r>
    <x v="25"/>
    <d v="2021-12-10T00:00:00"/>
    <n v="10"/>
    <s v="December"/>
    <n v="2021"/>
    <n v="40"/>
    <x v="0"/>
    <x v="1"/>
    <x v="2"/>
    <s v="New South Wales"/>
    <x v="0"/>
    <x v="0"/>
    <s v="Mountain-200 Black, 42"/>
    <n v="2"/>
    <n v="1252"/>
    <n v="2295"/>
    <n v="2086"/>
    <n v="2504"/>
    <n v="4590"/>
  </r>
  <r>
    <x v="26"/>
    <d v="2021-12-10T00:00:00"/>
    <n v="10"/>
    <s v="December"/>
    <n v="2021"/>
    <n v="26"/>
    <x v="1"/>
    <x v="1"/>
    <x v="1"/>
    <s v="England"/>
    <x v="0"/>
    <x v="0"/>
    <s v="Mountain-200 Black, 38"/>
    <n v="1"/>
    <n v="1252"/>
    <n v="2295"/>
    <n v="1043"/>
    <n v="1252"/>
    <n v="2295"/>
  </r>
  <r>
    <x v="27"/>
    <d v="2021-12-10T00:00:00"/>
    <n v="10"/>
    <s v="December"/>
    <n v="2021"/>
    <n v="34"/>
    <x v="1"/>
    <x v="1"/>
    <x v="0"/>
    <s v="California"/>
    <x v="0"/>
    <x v="0"/>
    <s v="Mountain-500 Black, 40"/>
    <n v="1"/>
    <n v="295"/>
    <n v="540"/>
    <n v="245"/>
    <n v="295"/>
    <n v="540"/>
  </r>
  <r>
    <x v="28"/>
    <d v="2021-12-10T00:00:00"/>
    <n v="10"/>
    <s v="December"/>
    <n v="2021"/>
    <n v="34"/>
    <x v="1"/>
    <x v="0"/>
    <x v="0"/>
    <s v="Washington"/>
    <x v="0"/>
    <x v="0"/>
    <s v="Mountain-100 Silver, 44"/>
    <n v="1"/>
    <n v="1912"/>
    <n v="3400"/>
    <n v="1488"/>
    <n v="1912"/>
    <n v="3400"/>
  </r>
  <r>
    <x v="29"/>
    <d v="2021-12-10T00:00:00"/>
    <n v="10"/>
    <s v="December"/>
    <n v="2021"/>
    <n v="38"/>
    <x v="0"/>
    <x v="1"/>
    <x v="2"/>
    <s v="New South Wales"/>
    <x v="0"/>
    <x v="0"/>
    <s v="Mountain-200 Black, 38"/>
    <n v="1"/>
    <n v="1252"/>
    <n v="2295"/>
    <n v="1043"/>
    <n v="1252"/>
    <n v="2295"/>
  </r>
  <r>
    <x v="30"/>
    <d v="2021-12-11T00:00:00"/>
    <n v="11"/>
    <s v="December"/>
    <n v="2021"/>
    <n v="24"/>
    <x v="2"/>
    <x v="0"/>
    <x v="5"/>
    <s v="Seine (Paris)"/>
    <x v="0"/>
    <x v="0"/>
    <s v="Mountain-200 Black, 38"/>
    <n v="3"/>
    <n v="1252"/>
    <n v="2295"/>
    <n v="3129"/>
    <n v="3756"/>
    <n v="6885"/>
  </r>
  <r>
    <x v="31"/>
    <d v="2021-12-11T00:00:00"/>
    <n v="11"/>
    <s v="December"/>
    <n v="2021"/>
    <n v="41"/>
    <x v="0"/>
    <x v="0"/>
    <x v="2"/>
    <s v="New South Wales"/>
    <x v="0"/>
    <x v="0"/>
    <s v="Mountain-400-W Silver, 38"/>
    <n v="2"/>
    <n v="420"/>
    <n v="769"/>
    <n v="698"/>
    <n v="840"/>
    <n v="1538"/>
  </r>
  <r>
    <x v="32"/>
    <d v="2021-12-11T00:00:00"/>
    <n v="11"/>
    <s v="December"/>
    <n v="2021"/>
    <n v="27"/>
    <x v="1"/>
    <x v="1"/>
    <x v="4"/>
    <s v="British Columbia"/>
    <x v="0"/>
    <x v="0"/>
    <s v="Mountain-200 Black, 46"/>
    <n v="1"/>
    <n v="1252"/>
    <n v="2295"/>
    <n v="1043"/>
    <n v="1252"/>
    <n v="2295"/>
  </r>
  <r>
    <x v="33"/>
    <d v="2021-12-11T00:00:00"/>
    <n v="11"/>
    <s v="December"/>
    <n v="2021"/>
    <n v="37"/>
    <x v="0"/>
    <x v="1"/>
    <x v="0"/>
    <s v="California"/>
    <x v="0"/>
    <x v="0"/>
    <s v="Mountain-400-W Silver, 46"/>
    <n v="1"/>
    <n v="420"/>
    <n v="769"/>
    <n v="349"/>
    <n v="420"/>
    <n v="769"/>
  </r>
  <r>
    <x v="34"/>
    <d v="2021-12-11T00:00:00"/>
    <n v="11"/>
    <s v="December"/>
    <n v="2021"/>
    <n v="38"/>
    <x v="0"/>
    <x v="0"/>
    <x v="0"/>
    <s v="California"/>
    <x v="0"/>
    <x v="0"/>
    <s v="Mountain-200 Silver, 38"/>
    <n v="1"/>
    <n v="1266"/>
    <n v="2320"/>
    <n v="1054"/>
    <n v="1266"/>
    <n v="2320"/>
  </r>
  <r>
    <x v="35"/>
    <d v="2021-12-12T00:00:00"/>
    <n v="12"/>
    <s v="December"/>
    <n v="2021"/>
    <n v="36"/>
    <x v="0"/>
    <x v="0"/>
    <x v="2"/>
    <s v="New South Wales"/>
    <x v="0"/>
    <x v="0"/>
    <s v="Mountain-200 Silver, 42"/>
    <n v="4"/>
    <n v="1266"/>
    <n v="2320"/>
    <n v="4216"/>
    <n v="5064"/>
    <n v="9280"/>
  </r>
  <r>
    <x v="36"/>
    <d v="2021-12-12T00:00:00"/>
    <n v="12"/>
    <s v="December"/>
    <n v="2021"/>
    <n v="37"/>
    <x v="0"/>
    <x v="1"/>
    <x v="0"/>
    <s v="California"/>
    <x v="0"/>
    <x v="0"/>
    <s v="Mountain-400-W Silver, 46"/>
    <n v="4"/>
    <n v="420"/>
    <n v="769"/>
    <n v="1396"/>
    <n v="1680"/>
    <n v="3076"/>
  </r>
  <r>
    <x v="37"/>
    <d v="2021-12-12T00:00:00"/>
    <n v="12"/>
    <s v="December"/>
    <n v="2021"/>
    <n v="34"/>
    <x v="1"/>
    <x v="1"/>
    <x v="2"/>
    <s v="New South Wales"/>
    <x v="0"/>
    <x v="0"/>
    <s v="Mountain-200 Black, 38"/>
    <n v="2"/>
    <n v="1252"/>
    <n v="2295"/>
    <n v="2086"/>
    <n v="2504"/>
    <n v="4590"/>
  </r>
  <r>
    <x v="38"/>
    <d v="2021-12-12T00:00:00"/>
    <n v="12"/>
    <s v="December"/>
    <n v="2021"/>
    <n v="35"/>
    <x v="0"/>
    <x v="0"/>
    <x v="2"/>
    <s v="Victoria"/>
    <x v="0"/>
    <x v="0"/>
    <s v="Mountain-200 Silver, 42"/>
    <n v="1"/>
    <n v="1266"/>
    <n v="2320"/>
    <n v="1054"/>
    <n v="1266"/>
    <n v="2320"/>
  </r>
  <r>
    <x v="39"/>
    <d v="2021-12-12T00:00:00"/>
    <n v="12"/>
    <s v="December"/>
    <n v="2021"/>
    <n v="38"/>
    <x v="0"/>
    <x v="0"/>
    <x v="0"/>
    <s v="Washington"/>
    <x v="0"/>
    <x v="0"/>
    <s v="Mountain-200 Silver, 42"/>
    <n v="1"/>
    <n v="1266"/>
    <n v="2320"/>
    <n v="1054"/>
    <n v="1266"/>
    <n v="2320"/>
  </r>
  <r>
    <x v="40"/>
    <d v="2021-12-13T00:00:00"/>
    <n v="13"/>
    <s v="December"/>
    <n v="2021"/>
    <n v="32"/>
    <x v="1"/>
    <x v="0"/>
    <x v="2"/>
    <s v="Queensland"/>
    <x v="0"/>
    <x v="0"/>
    <s v="Mountain-200 Silver, 42"/>
    <n v="3"/>
    <n v="1266"/>
    <n v="2320"/>
    <n v="3162"/>
    <n v="3798"/>
    <n v="6960"/>
  </r>
  <r>
    <x v="41"/>
    <d v="2021-12-13T00:00:00"/>
    <n v="13"/>
    <s v="December"/>
    <n v="2021"/>
    <n v="40"/>
    <x v="0"/>
    <x v="0"/>
    <x v="0"/>
    <s v="California"/>
    <x v="0"/>
    <x v="0"/>
    <s v="Mountain-500 Silver, 40"/>
    <n v="1"/>
    <n v="308"/>
    <n v="565"/>
    <n v="257"/>
    <n v="308"/>
    <n v="565"/>
  </r>
  <r>
    <x v="42"/>
    <d v="2021-12-13T00:00:00"/>
    <n v="13"/>
    <s v="December"/>
    <n v="2021"/>
    <n v="44"/>
    <x v="0"/>
    <x v="0"/>
    <x v="1"/>
    <s v="England"/>
    <x v="0"/>
    <x v="0"/>
    <s v="Mountain-200 Black, 38"/>
    <n v="1"/>
    <n v="1252"/>
    <n v="2295"/>
    <n v="1043"/>
    <n v="1252"/>
    <n v="2295"/>
  </r>
  <r>
    <x v="43"/>
    <d v="2021-12-13T00:00:00"/>
    <n v="13"/>
    <s v="December"/>
    <n v="2021"/>
    <n v="49"/>
    <x v="0"/>
    <x v="1"/>
    <x v="1"/>
    <s v="England"/>
    <x v="0"/>
    <x v="0"/>
    <s v="Mountain-200 Black, 38"/>
    <n v="1"/>
    <n v="1252"/>
    <n v="2295"/>
    <n v="1043"/>
    <n v="1252"/>
    <n v="2295"/>
  </r>
  <r>
    <x v="44"/>
    <d v="2021-12-14T00:00:00"/>
    <n v="14"/>
    <s v="December"/>
    <n v="2021"/>
    <n v="30"/>
    <x v="1"/>
    <x v="0"/>
    <x v="0"/>
    <s v="Washington"/>
    <x v="0"/>
    <x v="0"/>
    <s v="Mountain-200 Silver, 38"/>
    <n v="2"/>
    <n v="1266"/>
    <n v="2320"/>
    <n v="2108"/>
    <n v="2532"/>
    <n v="4640"/>
  </r>
  <r>
    <x v="45"/>
    <d v="2021-12-14T00:00:00"/>
    <n v="14"/>
    <s v="December"/>
    <n v="2021"/>
    <n v="32"/>
    <x v="1"/>
    <x v="1"/>
    <x v="0"/>
    <s v="California"/>
    <x v="0"/>
    <x v="0"/>
    <s v="Mountain-200 Black, 46"/>
    <n v="1"/>
    <n v="1252"/>
    <n v="2295"/>
    <n v="1043"/>
    <n v="1252"/>
    <n v="2295"/>
  </r>
  <r>
    <x v="46"/>
    <d v="2021-12-14T00:00:00"/>
    <n v="14"/>
    <s v="December"/>
    <n v="2021"/>
    <n v="32"/>
    <x v="1"/>
    <x v="0"/>
    <x v="2"/>
    <s v="Victoria"/>
    <x v="0"/>
    <x v="0"/>
    <s v="Mountain-400-W Silver, 46"/>
    <n v="1"/>
    <n v="420"/>
    <n v="769"/>
    <n v="349"/>
    <n v="420"/>
    <n v="769"/>
  </r>
  <r>
    <x v="47"/>
    <d v="2021-12-15T00:00:00"/>
    <n v="15"/>
    <s v="December"/>
    <n v="2021"/>
    <n v="29"/>
    <x v="1"/>
    <x v="0"/>
    <x v="0"/>
    <s v="California"/>
    <x v="0"/>
    <x v="0"/>
    <s v="Mountain-200 Silver, 42"/>
    <n v="1"/>
    <n v="1266"/>
    <n v="2320"/>
    <n v="1054"/>
    <n v="1266"/>
    <n v="2320"/>
  </r>
  <r>
    <x v="48"/>
    <d v="2021-12-16T00:00:00"/>
    <n v="16"/>
    <s v="December"/>
    <n v="2021"/>
    <n v="33"/>
    <x v="1"/>
    <x v="0"/>
    <x v="2"/>
    <s v="New South Wales"/>
    <x v="0"/>
    <x v="0"/>
    <s v="Mountain-200 Black, 38"/>
    <n v="2"/>
    <n v="1252"/>
    <n v="2295"/>
    <n v="2086"/>
    <n v="2504"/>
    <n v="4590"/>
  </r>
  <r>
    <x v="49"/>
    <d v="2021-12-16T00:00:00"/>
    <n v="16"/>
    <s v="December"/>
    <n v="2021"/>
    <n v="38"/>
    <x v="0"/>
    <x v="1"/>
    <x v="2"/>
    <s v="New South Wales"/>
    <x v="0"/>
    <x v="0"/>
    <s v="Mountain-200 Black, 38"/>
    <n v="2"/>
    <n v="1252"/>
    <n v="2295"/>
    <n v="2086"/>
    <n v="2504"/>
    <n v="4590"/>
  </r>
  <r>
    <x v="50"/>
    <d v="2021-12-16T00:00:00"/>
    <n v="16"/>
    <s v="December"/>
    <n v="2021"/>
    <n v="27"/>
    <x v="1"/>
    <x v="0"/>
    <x v="5"/>
    <s v="Seine et Marne"/>
    <x v="0"/>
    <x v="0"/>
    <s v="Mountain-200 Silver, 46"/>
    <n v="1"/>
    <n v="1266"/>
    <n v="2320"/>
    <n v="1054"/>
    <n v="1266"/>
    <n v="2320"/>
  </r>
  <r>
    <x v="51"/>
    <d v="2021-12-17T00:00:00"/>
    <n v="17"/>
    <s v="December"/>
    <n v="2021"/>
    <n v="37"/>
    <x v="0"/>
    <x v="0"/>
    <x v="0"/>
    <s v="Washington"/>
    <x v="0"/>
    <x v="0"/>
    <s v="Mountain-200 Silver, 38"/>
    <n v="2"/>
    <n v="1266"/>
    <n v="2320"/>
    <n v="2108"/>
    <n v="2532"/>
    <n v="4640"/>
  </r>
  <r>
    <x v="52"/>
    <d v="2021-12-17T00:00:00"/>
    <n v="17"/>
    <s v="December"/>
    <n v="2021"/>
    <n v="31"/>
    <x v="1"/>
    <x v="1"/>
    <x v="2"/>
    <s v="New South Wales"/>
    <x v="0"/>
    <x v="0"/>
    <s v="Mountain-400-W Silver, 42"/>
    <n v="1"/>
    <n v="420"/>
    <n v="769"/>
    <n v="349"/>
    <n v="420"/>
    <n v="769"/>
  </r>
  <r>
    <x v="53"/>
    <d v="2021-12-17T00:00:00"/>
    <n v="17"/>
    <s v="December"/>
    <n v="2021"/>
    <n v="42"/>
    <x v="0"/>
    <x v="0"/>
    <x v="3"/>
    <s v="Nordrhein-Westfalen"/>
    <x v="0"/>
    <x v="0"/>
    <s v="Mountain-200 Silver, 46"/>
    <n v="1"/>
    <n v="1266"/>
    <n v="2320"/>
    <n v="1054"/>
    <n v="1266"/>
    <n v="2320"/>
  </r>
  <r>
    <x v="54"/>
    <d v="2021-12-18T00:00:00"/>
    <n v="18"/>
    <s v="December"/>
    <n v="2021"/>
    <n v="35"/>
    <x v="0"/>
    <x v="0"/>
    <x v="2"/>
    <s v="New South Wales"/>
    <x v="0"/>
    <x v="0"/>
    <s v="Mountain-500 Silver, 42"/>
    <n v="4"/>
    <n v="308"/>
    <n v="565"/>
    <n v="1028"/>
    <n v="1232"/>
    <n v="2260"/>
  </r>
  <r>
    <x v="55"/>
    <d v="2021-12-18T00:00:00"/>
    <n v="18"/>
    <s v="December"/>
    <n v="2021"/>
    <n v="38"/>
    <x v="0"/>
    <x v="0"/>
    <x v="3"/>
    <s v="Nordrhein-Westfalen"/>
    <x v="0"/>
    <x v="0"/>
    <s v="Mountain-200 Silver, 46"/>
    <n v="4"/>
    <n v="1266"/>
    <n v="2320"/>
    <n v="4216"/>
    <n v="5064"/>
    <n v="9280"/>
  </r>
  <r>
    <x v="56"/>
    <d v="2021-12-18T00:00:00"/>
    <n v="18"/>
    <s v="December"/>
    <n v="2021"/>
    <n v="24"/>
    <x v="2"/>
    <x v="0"/>
    <x v="5"/>
    <s v="Seine Saint Denis"/>
    <x v="0"/>
    <x v="0"/>
    <s v="Mountain-200 Silver, 38"/>
    <n v="3"/>
    <n v="1266"/>
    <n v="2320"/>
    <n v="3162"/>
    <n v="3798"/>
    <n v="6960"/>
  </r>
  <r>
    <x v="57"/>
    <d v="2021-12-18T00:00:00"/>
    <n v="18"/>
    <s v="December"/>
    <n v="2021"/>
    <n v="26"/>
    <x v="1"/>
    <x v="0"/>
    <x v="1"/>
    <s v="England"/>
    <x v="0"/>
    <x v="0"/>
    <s v="Mountain-400-W Silver, 42"/>
    <n v="3"/>
    <n v="420"/>
    <n v="769"/>
    <n v="1047"/>
    <n v="1260"/>
    <n v="2307"/>
  </r>
  <r>
    <x v="58"/>
    <d v="2021-12-18T00:00:00"/>
    <n v="18"/>
    <s v="December"/>
    <n v="2021"/>
    <n v="39"/>
    <x v="0"/>
    <x v="1"/>
    <x v="0"/>
    <s v="California"/>
    <x v="0"/>
    <x v="0"/>
    <s v="Mountain-200 Black, 42"/>
    <n v="3"/>
    <n v="1252"/>
    <n v="2295"/>
    <n v="3129"/>
    <n v="3756"/>
    <n v="6885"/>
  </r>
  <r>
    <x v="59"/>
    <d v="2021-12-18T00:00:00"/>
    <n v="18"/>
    <s v="December"/>
    <n v="2021"/>
    <n v="26"/>
    <x v="1"/>
    <x v="1"/>
    <x v="5"/>
    <s v="Seine (Paris)"/>
    <x v="0"/>
    <x v="0"/>
    <s v="Mountain-200 Black, 46"/>
    <n v="1"/>
    <n v="1252"/>
    <n v="2295"/>
    <n v="1043"/>
    <n v="1252"/>
    <n v="2295"/>
  </r>
  <r>
    <x v="60"/>
    <d v="2021-12-18T00:00:00"/>
    <n v="18"/>
    <s v="December"/>
    <n v="2021"/>
    <n v="36"/>
    <x v="0"/>
    <x v="1"/>
    <x v="0"/>
    <s v="Washington"/>
    <x v="0"/>
    <x v="0"/>
    <s v="Mountain-200 Silver, 38"/>
    <n v="1"/>
    <n v="1266"/>
    <n v="2320"/>
    <n v="1054"/>
    <n v="1266"/>
    <n v="2320"/>
  </r>
  <r>
    <x v="61"/>
    <d v="2021-12-19T00:00:00"/>
    <n v="19"/>
    <s v="December"/>
    <n v="2021"/>
    <n v="17"/>
    <x v="2"/>
    <x v="1"/>
    <x v="5"/>
    <s v="Nord"/>
    <x v="0"/>
    <x v="0"/>
    <s v="Mountain-200 Silver, 46"/>
    <n v="4"/>
    <n v="1266"/>
    <n v="2320"/>
    <n v="4216"/>
    <n v="5064"/>
    <n v="9280"/>
  </r>
  <r>
    <x v="62"/>
    <d v="2021-12-19T00:00:00"/>
    <n v="19"/>
    <s v="December"/>
    <n v="2021"/>
    <n v="19"/>
    <x v="2"/>
    <x v="0"/>
    <x v="2"/>
    <s v="Victoria"/>
    <x v="0"/>
    <x v="0"/>
    <s v="Mountain-500 Black, 44"/>
    <n v="4"/>
    <n v="295"/>
    <n v="540"/>
    <n v="980"/>
    <n v="1180"/>
    <n v="2160"/>
  </r>
  <r>
    <x v="63"/>
    <d v="2021-12-19T00:00:00"/>
    <n v="19"/>
    <s v="December"/>
    <n v="2021"/>
    <n v="25"/>
    <x v="1"/>
    <x v="1"/>
    <x v="5"/>
    <s v="Seine (Paris)"/>
    <x v="0"/>
    <x v="0"/>
    <s v="Mountain-200 Black, 38"/>
    <n v="4"/>
    <n v="1252"/>
    <n v="2295"/>
    <n v="4172"/>
    <n v="5008"/>
    <n v="9180"/>
  </r>
  <r>
    <x v="64"/>
    <d v="2021-12-19T00:00:00"/>
    <n v="19"/>
    <s v="December"/>
    <n v="2021"/>
    <n v="35"/>
    <x v="0"/>
    <x v="0"/>
    <x v="0"/>
    <s v="Oregon"/>
    <x v="0"/>
    <x v="0"/>
    <s v="Mountain-100 Black, 48"/>
    <n v="4"/>
    <n v="1898"/>
    <n v="3375"/>
    <n v="5908"/>
    <n v="7592"/>
    <n v="13500"/>
  </r>
  <r>
    <x v="65"/>
    <d v="2021-12-19T00:00:00"/>
    <n v="19"/>
    <s v="December"/>
    <n v="2021"/>
    <n v="37"/>
    <x v="0"/>
    <x v="1"/>
    <x v="0"/>
    <s v="Oregon"/>
    <x v="0"/>
    <x v="0"/>
    <s v="Mountain-200 Black, 38"/>
    <n v="4"/>
    <n v="1252"/>
    <n v="2295"/>
    <n v="4172"/>
    <n v="5008"/>
    <n v="9180"/>
  </r>
  <r>
    <x v="66"/>
    <d v="2021-12-19T00:00:00"/>
    <n v="19"/>
    <s v="December"/>
    <n v="2021"/>
    <n v="39"/>
    <x v="0"/>
    <x v="0"/>
    <x v="0"/>
    <s v="California"/>
    <x v="0"/>
    <x v="0"/>
    <s v="Mountain-200 Black, 46"/>
    <n v="4"/>
    <n v="1252"/>
    <n v="2295"/>
    <n v="4172"/>
    <n v="5008"/>
    <n v="9180"/>
  </r>
  <r>
    <x v="67"/>
    <d v="2021-12-19T00:00:00"/>
    <n v="19"/>
    <s v="December"/>
    <n v="2021"/>
    <n v="63"/>
    <x v="0"/>
    <x v="0"/>
    <x v="2"/>
    <s v="Queensland"/>
    <x v="0"/>
    <x v="0"/>
    <s v="Mountain-200 Black, 46"/>
    <n v="4"/>
    <n v="1252"/>
    <n v="2295"/>
    <n v="4172"/>
    <n v="5008"/>
    <n v="9180"/>
  </r>
  <r>
    <x v="68"/>
    <d v="2021-12-19T00:00:00"/>
    <n v="19"/>
    <s v="December"/>
    <n v="2021"/>
    <n v="18"/>
    <x v="2"/>
    <x v="1"/>
    <x v="2"/>
    <s v="South Australia"/>
    <x v="0"/>
    <x v="0"/>
    <s v="Mountain-500 Black, 40"/>
    <n v="2"/>
    <n v="295"/>
    <n v="540"/>
    <n v="490"/>
    <n v="590"/>
    <n v="1080"/>
  </r>
  <r>
    <x v="69"/>
    <d v="2021-12-19T00:00:00"/>
    <n v="19"/>
    <s v="December"/>
    <n v="2021"/>
    <n v="56"/>
    <x v="0"/>
    <x v="0"/>
    <x v="3"/>
    <s v="Hessen"/>
    <x v="0"/>
    <x v="0"/>
    <s v="Mountain-200 Black, 46"/>
    <n v="2"/>
    <n v="1252"/>
    <n v="2295"/>
    <n v="2086"/>
    <n v="2504"/>
    <n v="4590"/>
  </r>
  <r>
    <x v="70"/>
    <d v="2021-12-19T00:00:00"/>
    <n v="19"/>
    <s v="December"/>
    <n v="2021"/>
    <n v="39"/>
    <x v="0"/>
    <x v="0"/>
    <x v="0"/>
    <s v="Washington"/>
    <x v="0"/>
    <x v="0"/>
    <s v="Mountain-200 Silver, 38"/>
    <n v="1"/>
    <n v="1266"/>
    <n v="2320"/>
    <n v="1054"/>
    <n v="1266"/>
    <n v="2320"/>
  </r>
  <r>
    <x v="71"/>
    <d v="2021-12-20T00:00:00"/>
    <n v="20"/>
    <s v="December"/>
    <n v="2021"/>
    <n v="33"/>
    <x v="1"/>
    <x v="0"/>
    <x v="2"/>
    <s v="Victoria"/>
    <x v="0"/>
    <x v="0"/>
    <s v="Mountain-100 Black, 38"/>
    <n v="4"/>
    <n v="1898"/>
    <n v="3375"/>
    <n v="5908"/>
    <n v="7592"/>
    <n v="13500"/>
  </r>
  <r>
    <x v="72"/>
    <d v="2021-12-20T00:00:00"/>
    <n v="20"/>
    <s v="December"/>
    <n v="2021"/>
    <n v="57"/>
    <x v="0"/>
    <x v="1"/>
    <x v="2"/>
    <s v="Queensland"/>
    <x v="0"/>
    <x v="0"/>
    <s v="Mountain-200 Black, 46"/>
    <n v="4"/>
    <n v="1252"/>
    <n v="2295"/>
    <n v="4172"/>
    <n v="5008"/>
    <n v="9180"/>
  </r>
  <r>
    <x v="73"/>
    <d v="2021-12-20T00:00:00"/>
    <n v="20"/>
    <s v="December"/>
    <n v="2021"/>
    <n v="29"/>
    <x v="1"/>
    <x v="1"/>
    <x v="4"/>
    <s v="British Columbia"/>
    <x v="0"/>
    <x v="0"/>
    <s v="Mountain-500 Black, 52"/>
    <n v="3"/>
    <n v="295"/>
    <n v="540"/>
    <n v="735"/>
    <n v="885"/>
    <n v="1620"/>
  </r>
  <r>
    <x v="74"/>
    <d v="2021-12-20T00:00:00"/>
    <n v="20"/>
    <s v="December"/>
    <n v="2021"/>
    <n v="35"/>
    <x v="0"/>
    <x v="0"/>
    <x v="2"/>
    <s v="Queensland"/>
    <x v="0"/>
    <x v="0"/>
    <s v="Mountain-200 Silver, 38"/>
    <n v="1"/>
    <n v="1266"/>
    <n v="2320"/>
    <n v="1054"/>
    <n v="1266"/>
    <n v="2320"/>
  </r>
  <r>
    <x v="75"/>
    <d v="2021-12-20T00:00:00"/>
    <n v="20"/>
    <s v="December"/>
    <n v="2021"/>
    <n v="35"/>
    <x v="0"/>
    <x v="1"/>
    <x v="2"/>
    <s v="Victoria"/>
    <x v="0"/>
    <x v="0"/>
    <s v="Mountain-200 Silver, 38"/>
    <n v="1"/>
    <n v="1266"/>
    <n v="2320"/>
    <n v="1054"/>
    <n v="1266"/>
    <n v="2320"/>
  </r>
  <r>
    <x v="76"/>
    <d v="2021-12-21T00:00:00"/>
    <n v="21"/>
    <s v="December"/>
    <n v="2021"/>
    <n v="26"/>
    <x v="1"/>
    <x v="1"/>
    <x v="5"/>
    <s v="Somme"/>
    <x v="0"/>
    <x v="0"/>
    <s v="Mountain-200 Silver, 38"/>
    <n v="3"/>
    <n v="1266"/>
    <n v="2320"/>
    <n v="3162"/>
    <n v="3798"/>
    <n v="6960"/>
  </r>
  <r>
    <x v="77"/>
    <d v="2021-12-21T00:00:00"/>
    <n v="21"/>
    <s v="December"/>
    <n v="2021"/>
    <n v="23"/>
    <x v="2"/>
    <x v="1"/>
    <x v="1"/>
    <s v="England"/>
    <x v="0"/>
    <x v="0"/>
    <s v="Mountain-400-W Silver, 46"/>
    <n v="2"/>
    <n v="420"/>
    <n v="769"/>
    <n v="698"/>
    <n v="840"/>
    <n v="1538"/>
  </r>
  <r>
    <x v="78"/>
    <d v="2021-12-22T00:00:00"/>
    <n v="22"/>
    <s v="December"/>
    <n v="2021"/>
    <n v="30"/>
    <x v="1"/>
    <x v="0"/>
    <x v="0"/>
    <s v="Washington"/>
    <x v="0"/>
    <x v="0"/>
    <s v="Mountain-200 Silver, 38"/>
    <n v="3"/>
    <n v="1266"/>
    <n v="2320"/>
    <n v="3162"/>
    <n v="3798"/>
    <n v="6960"/>
  </r>
  <r>
    <x v="79"/>
    <d v="2021-12-22T00:00:00"/>
    <n v="22"/>
    <s v="December"/>
    <n v="2021"/>
    <n v="41"/>
    <x v="0"/>
    <x v="1"/>
    <x v="0"/>
    <s v="California"/>
    <x v="0"/>
    <x v="0"/>
    <s v="Mountain-200 Black, 42"/>
    <n v="3"/>
    <n v="1252"/>
    <n v="2295"/>
    <n v="3129"/>
    <n v="3756"/>
    <n v="6885"/>
  </r>
  <r>
    <x v="80"/>
    <d v="2021-12-22T00:00:00"/>
    <n v="22"/>
    <s v="December"/>
    <n v="2021"/>
    <n v="19"/>
    <x v="2"/>
    <x v="0"/>
    <x v="2"/>
    <s v="New South Wales"/>
    <x v="0"/>
    <x v="0"/>
    <s v="Mountain-500 Silver, 42"/>
    <n v="1"/>
    <n v="308"/>
    <n v="565"/>
    <n v="257"/>
    <n v="308"/>
    <n v="565"/>
  </r>
  <r>
    <x v="81"/>
    <d v="2021-12-22T00:00:00"/>
    <n v="22"/>
    <s v="December"/>
    <n v="2021"/>
    <n v="25"/>
    <x v="1"/>
    <x v="1"/>
    <x v="5"/>
    <s v="Seine (Paris)"/>
    <x v="0"/>
    <x v="0"/>
    <s v="Mountain-200 Black, 38"/>
    <n v="1"/>
    <n v="1252"/>
    <n v="2295"/>
    <n v="1043"/>
    <n v="1252"/>
    <n v="2295"/>
  </r>
  <r>
    <x v="82"/>
    <d v="2021-12-22T00:00:00"/>
    <n v="22"/>
    <s v="December"/>
    <n v="2021"/>
    <n v="27"/>
    <x v="1"/>
    <x v="0"/>
    <x v="4"/>
    <s v="British Columbia"/>
    <x v="0"/>
    <x v="0"/>
    <s v="Mountain-200 Black, 46"/>
    <n v="1"/>
    <n v="1252"/>
    <n v="2295"/>
    <n v="1043"/>
    <n v="1252"/>
    <n v="2295"/>
  </r>
  <r>
    <x v="83"/>
    <d v="2021-12-22T00:00:00"/>
    <n v="22"/>
    <s v="December"/>
    <n v="2021"/>
    <n v="41"/>
    <x v="0"/>
    <x v="1"/>
    <x v="3"/>
    <s v="Hessen"/>
    <x v="0"/>
    <x v="0"/>
    <s v="Mountain-200 Silver, 38"/>
    <n v="1"/>
    <n v="1266"/>
    <n v="2320"/>
    <n v="1054"/>
    <n v="1266"/>
    <n v="2320"/>
  </r>
  <r>
    <x v="84"/>
    <d v="2021-12-23T00:00:00"/>
    <n v="23"/>
    <s v="December"/>
    <n v="2021"/>
    <n v="30"/>
    <x v="1"/>
    <x v="0"/>
    <x v="0"/>
    <s v="Oregon"/>
    <x v="0"/>
    <x v="0"/>
    <s v="Mountain-200 Silver, 42"/>
    <n v="1"/>
    <n v="1266"/>
    <n v="2320"/>
    <n v="1054"/>
    <n v="1266"/>
    <n v="2320"/>
  </r>
  <r>
    <x v="85"/>
    <d v="2021-12-23T00:00:00"/>
    <n v="23"/>
    <s v="December"/>
    <n v="2021"/>
    <n v="31"/>
    <x v="1"/>
    <x v="0"/>
    <x v="4"/>
    <s v="British Columbia"/>
    <x v="0"/>
    <x v="0"/>
    <s v="Mountain-200 Black, 42"/>
    <n v="1"/>
    <n v="1252"/>
    <n v="2295"/>
    <n v="1043"/>
    <n v="1252"/>
    <n v="2295"/>
  </r>
  <r>
    <x v="86"/>
    <d v="2021-12-23T00:00:00"/>
    <n v="23"/>
    <s v="December"/>
    <n v="2021"/>
    <n v="35"/>
    <x v="0"/>
    <x v="0"/>
    <x v="0"/>
    <s v="California"/>
    <x v="0"/>
    <x v="0"/>
    <s v="Mountain-500 Black, 42"/>
    <n v="1"/>
    <n v="295"/>
    <n v="540"/>
    <n v="245"/>
    <n v="295"/>
    <n v="540"/>
  </r>
  <r>
    <x v="87"/>
    <d v="2021-12-24T00:00:00"/>
    <n v="24"/>
    <s v="December"/>
    <n v="2021"/>
    <n v="38"/>
    <x v="0"/>
    <x v="1"/>
    <x v="2"/>
    <s v="Queensland"/>
    <x v="0"/>
    <x v="0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  <s v="Medium"/>
  </r>
  <r>
    <x v="0"/>
    <x v="1"/>
    <n v="200"/>
    <s v="Low"/>
  </r>
  <r>
    <x v="1"/>
    <x v="0"/>
    <n v="700"/>
    <s v="High"/>
  </r>
  <r>
    <x v="1"/>
    <x v="2"/>
    <n v="400"/>
    <s v="Medium"/>
  </r>
  <r>
    <x v="2"/>
    <x v="1"/>
    <n v="150"/>
    <s v="Low"/>
  </r>
  <r>
    <x v="2"/>
    <x v="0"/>
    <n v="600"/>
    <s v="Medium"/>
  </r>
  <r>
    <x v="3"/>
    <x v="2"/>
    <n v="800"/>
    <s v="High"/>
  </r>
  <r>
    <x v="3"/>
    <x v="1"/>
    <n v="300"/>
    <s v="Medium"/>
  </r>
  <r>
    <x v="4"/>
    <x v="0"/>
    <n v="250"/>
    <s v="Low"/>
  </r>
  <r>
    <x v="4"/>
    <x v="2"/>
    <n v="300"/>
    <s v="Medium"/>
  </r>
  <r>
    <x v="5"/>
    <x v="1"/>
    <n v="600"/>
    <s v="Medium"/>
  </r>
  <r>
    <x v="5"/>
    <x v="0"/>
    <n v="400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BBCC5-02F8-4E30-B10A-BD10F2D6A6AB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2:I13" firstHeaderRow="1" firstDataRow="2" firstDataCol="2"/>
  <pivotFields count="19">
    <pivotField compact="0" outline="0" showAll="0">
      <items count="89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Profit " fld="16" baseField="0" baseItem="0" numFmtId="164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16495-E67B-4233-9100-C21AA2402A69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3">
  <location ref="A1:I12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0">
      <pivotArea outline="0" collapsedLevelsAreSubtotals="1" fieldPosition="0"/>
    </format>
  </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B2C79-C876-42A4-B6E9-300B19B809FF}" name="PivotTable1" cacheId="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5">
  <location ref="H2:O7" firstHeaderRow="1" firstDataRow="2" firstDataCol="1"/>
  <pivotFields count="4">
    <pivotField axis="axisCol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Volume" fld="2" baseField="0" baseItem="0"/>
  </dataFields>
  <chartFormats count="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/>
  </sheetViews>
  <sheetFormatPr defaultRowHeight="14.4" x14ac:dyDescent="0.3"/>
  <cols>
    <col min="1" max="1" width="15.88671875" bestFit="1" customWidth="1"/>
    <col min="2" max="2" width="11.44140625" bestFit="1" customWidth="1"/>
    <col min="3" max="3" width="6.88671875" bestFit="1" customWidth="1"/>
    <col min="4" max="4" width="10.109375" bestFit="1" customWidth="1"/>
    <col min="5" max="5" width="7.44140625" bestFit="1" customWidth="1"/>
    <col min="6" max="6" width="16.6640625" hidden="1" customWidth="1"/>
    <col min="7" max="7" width="19.6640625" style="8" bestFit="1" customWidth="1"/>
    <col min="8" max="8" width="20" bestFit="1" customWidth="1"/>
    <col min="9" max="9" width="15.44140625" bestFit="1" customWidth="1"/>
    <col min="10" max="10" width="19.88671875" hidden="1" customWidth="1"/>
    <col min="11" max="11" width="19.6640625" hidden="1" customWidth="1"/>
    <col min="12" max="12" width="15.88671875" hidden="1" customWidth="1"/>
    <col min="13" max="13" width="25" hidden="1" customWidth="1"/>
    <col min="14" max="14" width="17.6640625" bestFit="1" customWidth="1"/>
    <col min="15" max="15" width="13.109375" bestFit="1" customWidth="1"/>
    <col min="16" max="16" width="13.6640625" bestFit="1" customWidth="1"/>
    <col min="17" max="18" width="10.33203125" bestFit="1" customWidth="1"/>
    <col min="19" max="19" width="11.4414062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autoFilter ref="A1:S89" xr:uid="{00000000-0001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6CA8-6797-404A-B98F-D7DB32F9F856}">
  <dimension ref="A2:L13"/>
  <sheetViews>
    <sheetView tabSelected="1" workbookViewId="0">
      <selection activeCell="J20" sqref="J20"/>
    </sheetView>
  </sheetViews>
  <sheetFormatPr defaultRowHeight="14.4" x14ac:dyDescent="0.3"/>
  <cols>
    <col min="1" max="1" width="15.44140625" bestFit="1" customWidth="1"/>
    <col min="2" max="2" width="18.5546875" bestFit="1" customWidth="1"/>
    <col min="3" max="8" width="14.77734375" bestFit="1" customWidth="1"/>
    <col min="9" max="9" width="11.77734375" bestFit="1" customWidth="1"/>
    <col min="10" max="10" width="16.6640625" bestFit="1" customWidth="1"/>
    <col min="11" max="11" width="12.5546875" bestFit="1" customWidth="1"/>
    <col min="12" max="12" width="14" bestFit="1" customWidth="1"/>
    <col min="13" max="13" width="15.6640625" bestFit="1" customWidth="1"/>
    <col min="14" max="14" width="19.109375" bestFit="1" customWidth="1"/>
    <col min="15" max="15" width="20.88671875" bestFit="1" customWidth="1"/>
    <col min="16" max="16" width="16.6640625" bestFit="1" customWidth="1"/>
    <col min="17" max="17" width="12.5546875" bestFit="1" customWidth="1"/>
  </cols>
  <sheetData>
    <row r="2" spans="1:12" x14ac:dyDescent="0.3">
      <c r="A2" s="9" t="s">
        <v>156</v>
      </c>
      <c r="C2" s="9" t="s">
        <v>8</v>
      </c>
    </row>
    <row r="3" spans="1:12" x14ac:dyDescent="0.3">
      <c r="A3" s="9" t="s">
        <v>6</v>
      </c>
      <c r="B3" s="9" t="s">
        <v>7</v>
      </c>
      <c r="C3" t="s">
        <v>37</v>
      </c>
      <c r="D3" t="s">
        <v>57</v>
      </c>
      <c r="E3" t="s">
        <v>86</v>
      </c>
      <c r="F3" t="s">
        <v>49</v>
      </c>
      <c r="G3" t="s">
        <v>30</v>
      </c>
      <c r="H3" t="s">
        <v>23</v>
      </c>
      <c r="I3" t="s">
        <v>157</v>
      </c>
    </row>
    <row r="4" spans="1:12" x14ac:dyDescent="0.3">
      <c r="A4" t="s">
        <v>21</v>
      </c>
      <c r="B4" t="s">
        <v>22</v>
      </c>
      <c r="C4" s="2">
        <v>13276</v>
      </c>
      <c r="D4" s="2">
        <v>0</v>
      </c>
      <c r="E4" s="2">
        <v>0</v>
      </c>
      <c r="F4" s="2">
        <v>8410</v>
      </c>
      <c r="G4" s="2">
        <v>1043</v>
      </c>
      <c r="H4" s="2">
        <v>29656</v>
      </c>
      <c r="I4" s="2">
        <v>52385</v>
      </c>
      <c r="J4" s="2">
        <f>MAX(C4:H5,C7:H8,C10:H11)</f>
        <v>29656</v>
      </c>
      <c r="K4" s="2" t="s">
        <v>158</v>
      </c>
      <c r="L4" s="2">
        <f>SUM(I4,I7,I10)</f>
        <v>97543</v>
      </c>
    </row>
    <row r="5" spans="1:12" x14ac:dyDescent="0.3">
      <c r="B5" t="s">
        <v>29</v>
      </c>
      <c r="C5" s="2">
        <v>15656</v>
      </c>
      <c r="D5" s="2">
        <v>0</v>
      </c>
      <c r="E5" s="2">
        <v>0</v>
      </c>
      <c r="F5" s="2">
        <v>5226</v>
      </c>
      <c r="G5" s="2">
        <v>3151</v>
      </c>
      <c r="H5" s="2">
        <v>17078</v>
      </c>
      <c r="I5" s="2">
        <v>41111</v>
      </c>
      <c r="K5" t="s">
        <v>159</v>
      </c>
      <c r="L5" s="2">
        <f>SUM(I5,I8,I11)</f>
        <v>65965</v>
      </c>
    </row>
    <row r="6" spans="1:12" x14ac:dyDescent="0.3">
      <c r="A6" t="s">
        <v>160</v>
      </c>
      <c r="C6" s="2">
        <v>28932</v>
      </c>
      <c r="D6" s="2">
        <v>0</v>
      </c>
      <c r="E6" s="2">
        <v>0</v>
      </c>
      <c r="F6" s="2">
        <v>13636</v>
      </c>
      <c r="G6" s="2">
        <v>4194</v>
      </c>
      <c r="H6" s="2">
        <v>46734</v>
      </c>
      <c r="I6" s="2">
        <v>93496</v>
      </c>
    </row>
    <row r="7" spans="1:12" x14ac:dyDescent="0.3">
      <c r="A7" t="s">
        <v>36</v>
      </c>
      <c r="B7" t="s">
        <v>22</v>
      </c>
      <c r="C7" s="2">
        <v>16204</v>
      </c>
      <c r="D7" s="2">
        <v>6302</v>
      </c>
      <c r="E7" s="2">
        <v>1054</v>
      </c>
      <c r="F7" s="2">
        <v>0</v>
      </c>
      <c r="G7" s="2">
        <v>1047</v>
      </c>
      <c r="H7" s="2">
        <v>10952</v>
      </c>
      <c r="I7" s="2">
        <v>35559</v>
      </c>
    </row>
    <row r="8" spans="1:12" x14ac:dyDescent="0.3">
      <c r="B8" t="s">
        <v>29</v>
      </c>
      <c r="C8" s="2">
        <v>2435</v>
      </c>
      <c r="D8" s="2">
        <v>2821</v>
      </c>
      <c r="E8" s="2">
        <v>9420</v>
      </c>
      <c r="F8" s="2">
        <v>0</v>
      </c>
      <c r="G8" s="2">
        <v>1043</v>
      </c>
      <c r="H8" s="2">
        <v>2684</v>
      </c>
      <c r="I8" s="2">
        <v>18403</v>
      </c>
    </row>
    <row r="9" spans="1:12" x14ac:dyDescent="0.3">
      <c r="A9" t="s">
        <v>161</v>
      </c>
      <c r="C9" s="2">
        <v>18639</v>
      </c>
      <c r="D9" s="2">
        <v>9123</v>
      </c>
      <c r="E9" s="2">
        <v>10474</v>
      </c>
      <c r="F9" s="2">
        <v>0</v>
      </c>
      <c r="G9" s="2">
        <v>2090</v>
      </c>
      <c r="H9" s="2">
        <v>13636</v>
      </c>
      <c r="I9" s="2">
        <v>53962</v>
      </c>
    </row>
    <row r="10" spans="1:12" x14ac:dyDescent="0.3">
      <c r="A10" t="s">
        <v>42</v>
      </c>
      <c r="B10" t="s">
        <v>22</v>
      </c>
      <c r="C10" s="2">
        <v>2265</v>
      </c>
      <c r="D10" s="2">
        <v>0</v>
      </c>
      <c r="E10" s="2">
        <v>6291</v>
      </c>
      <c r="F10" s="2">
        <v>0</v>
      </c>
      <c r="G10" s="2">
        <v>1043</v>
      </c>
      <c r="H10" s="2">
        <v>0</v>
      </c>
      <c r="I10" s="2">
        <v>9599</v>
      </c>
    </row>
    <row r="11" spans="1:12" x14ac:dyDescent="0.3">
      <c r="B11" t="s">
        <v>29</v>
      </c>
      <c r="C11" s="2">
        <v>490</v>
      </c>
      <c r="D11" s="2">
        <v>0</v>
      </c>
      <c r="E11" s="2">
        <v>4216</v>
      </c>
      <c r="F11" s="2">
        <v>0</v>
      </c>
      <c r="G11" s="2">
        <v>1745</v>
      </c>
      <c r="H11" s="2">
        <v>0</v>
      </c>
      <c r="I11" s="2">
        <v>6451</v>
      </c>
    </row>
    <row r="12" spans="1:12" x14ac:dyDescent="0.3">
      <c r="A12" t="s">
        <v>162</v>
      </c>
      <c r="C12" s="2">
        <v>2755</v>
      </c>
      <c r="D12" s="2">
        <v>0</v>
      </c>
      <c r="E12" s="2">
        <v>10507</v>
      </c>
      <c r="F12" s="2">
        <v>0</v>
      </c>
      <c r="G12" s="2">
        <v>2788</v>
      </c>
      <c r="H12" s="2">
        <v>0</v>
      </c>
      <c r="I12" s="2">
        <v>16050</v>
      </c>
    </row>
    <row r="13" spans="1:12" x14ac:dyDescent="0.3">
      <c r="A13" t="s">
        <v>157</v>
      </c>
      <c r="C13" s="2">
        <v>50326</v>
      </c>
      <c r="D13" s="2">
        <v>9123</v>
      </c>
      <c r="E13" s="2">
        <v>20981</v>
      </c>
      <c r="F13" s="2">
        <v>13636</v>
      </c>
      <c r="G13" s="2">
        <v>9072</v>
      </c>
      <c r="H13" s="2">
        <v>60370</v>
      </c>
      <c r="I13" s="2">
        <v>163508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D3EF-EDA5-46AD-A89F-0BBE710B91E8}">
  <dimension ref="A1:I12"/>
  <sheetViews>
    <sheetView workbookViewId="0">
      <selection activeCell="N19" sqref="N19"/>
    </sheetView>
  </sheetViews>
  <sheetFormatPr defaultRowHeight="14.4" x14ac:dyDescent="0.3"/>
  <cols>
    <col min="1" max="1" width="22.44140625" bestFit="1" customWidth="1"/>
    <col min="2" max="2" width="20.88671875" bestFit="1" customWidth="1"/>
    <col min="3" max="3" width="11.44140625" bestFit="1" customWidth="1"/>
    <col min="4" max="4" width="7.6640625" bestFit="1" customWidth="1"/>
    <col min="5" max="5" width="7" bestFit="1" customWidth="1"/>
    <col min="6" max="6" width="9.33203125" bestFit="1" customWidth="1"/>
    <col min="7" max="7" width="15.6640625" bestFit="1" customWidth="1"/>
    <col min="8" max="8" width="13.33203125" bestFit="1" customWidth="1"/>
    <col min="9" max="9" width="11.6640625" bestFit="1" customWidth="1"/>
  </cols>
  <sheetData>
    <row r="1" spans="1:9" x14ac:dyDescent="0.3">
      <c r="A1" s="9" t="s">
        <v>163</v>
      </c>
      <c r="C1" s="9" t="s">
        <v>8</v>
      </c>
    </row>
    <row r="2" spans="1:9" x14ac:dyDescent="0.3">
      <c r="A2" s="9" t="s">
        <v>6</v>
      </c>
      <c r="B2" s="9" t="s">
        <v>7</v>
      </c>
      <c r="C2" t="s">
        <v>37</v>
      </c>
      <c r="D2" t="s">
        <v>57</v>
      </c>
      <c r="E2" t="s">
        <v>86</v>
      </c>
      <c r="F2" t="s">
        <v>49</v>
      </c>
      <c r="G2" t="s">
        <v>30</v>
      </c>
      <c r="H2" t="s">
        <v>23</v>
      </c>
      <c r="I2" t="s">
        <v>157</v>
      </c>
    </row>
    <row r="3" spans="1:9" x14ac:dyDescent="0.3">
      <c r="A3" t="s">
        <v>42</v>
      </c>
      <c r="B3" t="s">
        <v>22</v>
      </c>
      <c r="C3" s="10">
        <v>9</v>
      </c>
      <c r="D3" s="10">
        <v>0</v>
      </c>
      <c r="E3" s="10">
        <v>6</v>
      </c>
      <c r="F3" s="10">
        <v>0</v>
      </c>
      <c r="G3" s="10">
        <v>1</v>
      </c>
      <c r="H3" s="10">
        <v>0</v>
      </c>
      <c r="I3" s="10">
        <v>16</v>
      </c>
    </row>
    <row r="4" spans="1:9" x14ac:dyDescent="0.3">
      <c r="B4" t="s">
        <v>29</v>
      </c>
      <c r="C4" s="10">
        <v>2</v>
      </c>
      <c r="D4" s="10">
        <v>0</v>
      </c>
      <c r="E4" s="10">
        <v>4</v>
      </c>
      <c r="F4" s="10">
        <v>0</v>
      </c>
      <c r="G4" s="10">
        <v>5</v>
      </c>
      <c r="H4" s="10">
        <v>0</v>
      </c>
      <c r="I4" s="10">
        <v>11</v>
      </c>
    </row>
    <row r="5" spans="1:9" x14ac:dyDescent="0.3">
      <c r="A5" t="s">
        <v>162</v>
      </c>
      <c r="C5" s="10">
        <v>11</v>
      </c>
      <c r="D5" s="10">
        <v>0</v>
      </c>
      <c r="E5" s="10">
        <v>10</v>
      </c>
      <c r="F5" s="10">
        <v>0</v>
      </c>
      <c r="G5" s="10">
        <v>6</v>
      </c>
      <c r="H5" s="10">
        <v>0</v>
      </c>
      <c r="I5" s="10">
        <v>27</v>
      </c>
    </row>
    <row r="6" spans="1:9" x14ac:dyDescent="0.3">
      <c r="A6" t="s">
        <v>36</v>
      </c>
      <c r="B6" t="s">
        <v>22</v>
      </c>
      <c r="C6" s="10">
        <v>17</v>
      </c>
      <c r="D6" s="10">
        <v>6</v>
      </c>
      <c r="E6" s="10">
        <v>1</v>
      </c>
      <c r="F6" s="10">
        <v>0</v>
      </c>
      <c r="G6" s="10">
        <v>3</v>
      </c>
      <c r="H6" s="10">
        <v>10</v>
      </c>
      <c r="I6" s="10">
        <v>37</v>
      </c>
    </row>
    <row r="7" spans="1:9" x14ac:dyDescent="0.3">
      <c r="B7" t="s">
        <v>29</v>
      </c>
      <c r="C7" s="10">
        <v>3</v>
      </c>
      <c r="D7" s="10">
        <v>5</v>
      </c>
      <c r="E7" s="10">
        <v>9</v>
      </c>
      <c r="F7" s="10">
        <v>0</v>
      </c>
      <c r="G7" s="10">
        <v>1</v>
      </c>
      <c r="H7" s="10">
        <v>6</v>
      </c>
      <c r="I7" s="10">
        <v>24</v>
      </c>
    </row>
    <row r="8" spans="1:9" x14ac:dyDescent="0.3">
      <c r="A8" t="s">
        <v>161</v>
      </c>
      <c r="C8" s="10">
        <v>20</v>
      </c>
      <c r="D8" s="10">
        <v>11</v>
      </c>
      <c r="E8" s="10">
        <v>10</v>
      </c>
      <c r="F8" s="10">
        <v>0</v>
      </c>
      <c r="G8" s="10">
        <v>4</v>
      </c>
      <c r="H8" s="10">
        <v>16</v>
      </c>
      <c r="I8" s="10">
        <v>61</v>
      </c>
    </row>
    <row r="9" spans="1:9" x14ac:dyDescent="0.3">
      <c r="A9" t="s">
        <v>21</v>
      </c>
      <c r="B9" t="s">
        <v>22</v>
      </c>
      <c r="C9" s="10">
        <v>17</v>
      </c>
      <c r="D9" s="10">
        <v>0</v>
      </c>
      <c r="E9" s="10">
        <v>0</v>
      </c>
      <c r="F9" s="10">
        <v>8</v>
      </c>
      <c r="G9" s="10">
        <v>1</v>
      </c>
      <c r="H9" s="10">
        <v>29</v>
      </c>
      <c r="I9" s="10">
        <v>55</v>
      </c>
    </row>
    <row r="10" spans="1:9" x14ac:dyDescent="0.3">
      <c r="B10" t="s">
        <v>29</v>
      </c>
      <c r="C10" s="10">
        <v>15</v>
      </c>
      <c r="D10" s="10">
        <v>0</v>
      </c>
      <c r="E10" s="10">
        <v>0</v>
      </c>
      <c r="F10" s="10">
        <v>5</v>
      </c>
      <c r="G10" s="10">
        <v>3</v>
      </c>
      <c r="H10" s="10">
        <v>21</v>
      </c>
      <c r="I10" s="10">
        <v>44</v>
      </c>
    </row>
    <row r="11" spans="1:9" x14ac:dyDescent="0.3">
      <c r="A11" t="s">
        <v>160</v>
      </c>
      <c r="C11" s="10">
        <v>32</v>
      </c>
      <c r="D11" s="10">
        <v>0</v>
      </c>
      <c r="E11" s="10">
        <v>0</v>
      </c>
      <c r="F11" s="10">
        <v>13</v>
      </c>
      <c r="G11" s="10">
        <v>4</v>
      </c>
      <c r="H11" s="10">
        <v>50</v>
      </c>
      <c r="I11" s="10">
        <v>99</v>
      </c>
    </row>
    <row r="12" spans="1:9" x14ac:dyDescent="0.3">
      <c r="A12" t="s">
        <v>157</v>
      </c>
      <c r="C12" s="10">
        <v>63</v>
      </c>
      <c r="D12" s="10">
        <v>11</v>
      </c>
      <c r="E12" s="10">
        <v>20</v>
      </c>
      <c r="F12" s="10">
        <v>13</v>
      </c>
      <c r="G12" s="10">
        <v>14</v>
      </c>
      <c r="H12" s="10">
        <v>66</v>
      </c>
      <c r="I12" s="10">
        <v>187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0421-859B-4145-B248-1B184EFA3E69}">
  <dimension ref="A1:O13"/>
  <sheetViews>
    <sheetView workbookViewId="0">
      <selection activeCell="L27" sqref="L27"/>
    </sheetView>
  </sheetViews>
  <sheetFormatPr defaultRowHeight="14.4" x14ac:dyDescent="0.3"/>
  <cols>
    <col min="1" max="1" width="17" customWidth="1"/>
    <col min="2" max="2" width="11.109375" bestFit="1" customWidth="1"/>
    <col min="3" max="3" width="11" customWidth="1"/>
    <col min="4" max="4" width="11.88671875" customWidth="1"/>
    <col min="5" max="5" width="4.109375" customWidth="1"/>
    <col min="6" max="6" width="15.109375" customWidth="1"/>
    <col min="7" max="7" width="10.5546875" customWidth="1"/>
    <col min="8" max="8" width="20" bestFit="1" customWidth="1"/>
    <col min="9" max="9" width="10.5546875" bestFit="1" customWidth="1"/>
    <col min="10" max="10" width="8.33203125" bestFit="1" customWidth="1"/>
    <col min="11" max="11" width="6" bestFit="1" customWidth="1"/>
    <col min="12" max="12" width="19.44140625" bestFit="1" customWidth="1"/>
    <col min="13" max="13" width="10.5546875" bestFit="1" customWidth="1"/>
    <col min="14" max="14" width="9.5546875" bestFit="1" customWidth="1"/>
    <col min="15" max="15" width="11.6640625" bestFit="1" customWidth="1"/>
    <col min="16" max="16" width="8.33203125" bestFit="1" customWidth="1"/>
    <col min="17" max="17" width="6" bestFit="1" customWidth="1"/>
    <col min="18" max="18" width="13.33203125" bestFit="1" customWidth="1"/>
    <col min="19" max="19" width="15" bestFit="1" customWidth="1"/>
    <col min="20" max="20" width="19.44140625" bestFit="1" customWidth="1"/>
    <col min="21" max="21" width="10.5546875" bestFit="1" customWidth="1"/>
    <col min="22" max="22" width="9.5546875" bestFit="1" customWidth="1"/>
    <col min="23" max="23" width="18.33203125" bestFit="1" customWidth="1"/>
    <col min="24" max="24" width="11.6640625" bestFit="1" customWidth="1"/>
  </cols>
  <sheetData>
    <row r="1" spans="1:15" x14ac:dyDescent="0.3">
      <c r="A1" s="13" t="s">
        <v>164</v>
      </c>
      <c r="B1" s="13" t="s">
        <v>165</v>
      </c>
      <c r="C1" s="13" t="s">
        <v>166</v>
      </c>
      <c r="D1" s="16" t="s">
        <v>167</v>
      </c>
      <c r="F1" s="11" t="s">
        <v>166</v>
      </c>
      <c r="G1" s="11" t="s">
        <v>168</v>
      </c>
    </row>
    <row r="2" spans="1:15" x14ac:dyDescent="0.3">
      <c r="A2" s="15" t="s">
        <v>169</v>
      </c>
      <c r="B2" s="15" t="s">
        <v>170</v>
      </c>
      <c r="C2" s="15">
        <v>500</v>
      </c>
      <c r="D2" s="14" t="str" cm="1">
        <f t="array" ref="D2">_xlfn.SWITCH(TRUE, C2&gt;600, "High", C2&gt;=300, "Medium", "Low")</f>
        <v>Medium</v>
      </c>
      <c r="F2" s="12" t="s">
        <v>171</v>
      </c>
      <c r="G2" s="12" t="s">
        <v>172</v>
      </c>
      <c r="H2" s="9" t="s">
        <v>173</v>
      </c>
      <c r="I2" s="9" t="s">
        <v>164</v>
      </c>
    </row>
    <row r="3" spans="1:15" x14ac:dyDescent="0.3">
      <c r="A3" s="15" t="s">
        <v>169</v>
      </c>
      <c r="B3" s="15" t="s">
        <v>174</v>
      </c>
      <c r="C3" s="15">
        <v>200</v>
      </c>
      <c r="D3" s="14" t="str" cm="1">
        <f t="array" ref="D3">_xlfn.SWITCH(TRUE, C3&gt;600, "High", C3&gt;=300, "Medium", "Low")</f>
        <v>Low</v>
      </c>
      <c r="F3" s="12" t="s">
        <v>175</v>
      </c>
      <c r="G3" s="12" t="s">
        <v>176</v>
      </c>
      <c r="H3" s="9" t="s">
        <v>165</v>
      </c>
      <c r="I3" t="s">
        <v>177</v>
      </c>
      <c r="J3" t="s">
        <v>178</v>
      </c>
      <c r="K3" t="s">
        <v>179</v>
      </c>
      <c r="L3" t="s">
        <v>180</v>
      </c>
      <c r="M3" t="s">
        <v>181</v>
      </c>
      <c r="N3" t="s">
        <v>169</v>
      </c>
      <c r="O3" t="s">
        <v>157</v>
      </c>
    </row>
    <row r="4" spans="1:15" x14ac:dyDescent="0.3">
      <c r="A4" s="15" t="s">
        <v>177</v>
      </c>
      <c r="B4" s="15" t="s">
        <v>170</v>
      </c>
      <c r="C4" s="15">
        <v>700</v>
      </c>
      <c r="D4" s="14" t="str" cm="1">
        <f t="array" ref="D4">_xlfn.SWITCH(TRUE, C4&gt;600, "High", C4&gt;=300, "Medium", "Low")</f>
        <v>High</v>
      </c>
      <c r="F4" s="12" t="s">
        <v>182</v>
      </c>
      <c r="G4" s="12" t="s">
        <v>183</v>
      </c>
      <c r="H4" t="s">
        <v>170</v>
      </c>
      <c r="I4">
        <v>700</v>
      </c>
      <c r="J4">
        <v>250</v>
      </c>
      <c r="K4">
        <v>0</v>
      </c>
      <c r="L4">
        <v>400</v>
      </c>
      <c r="M4">
        <v>600</v>
      </c>
      <c r="N4">
        <v>500</v>
      </c>
      <c r="O4">
        <v>2450</v>
      </c>
    </row>
    <row r="5" spans="1:15" x14ac:dyDescent="0.3">
      <c r="A5" s="15" t="s">
        <v>177</v>
      </c>
      <c r="B5" s="15" t="s">
        <v>184</v>
      </c>
      <c r="C5" s="15">
        <v>400</v>
      </c>
      <c r="D5" s="14" t="str" cm="1">
        <f t="array" ref="D5">_xlfn.SWITCH(TRUE, C5&gt;600, "High", C5&gt;=300, "Medium", "Low")</f>
        <v>Medium</v>
      </c>
      <c r="H5" t="s">
        <v>184</v>
      </c>
      <c r="I5">
        <v>400</v>
      </c>
      <c r="J5">
        <v>300</v>
      </c>
      <c r="K5">
        <v>800</v>
      </c>
      <c r="L5">
        <v>0</v>
      </c>
      <c r="M5">
        <v>0</v>
      </c>
      <c r="N5">
        <v>0</v>
      </c>
      <c r="O5">
        <v>1500</v>
      </c>
    </row>
    <row r="6" spans="1:15" x14ac:dyDescent="0.3">
      <c r="A6" s="15" t="s">
        <v>181</v>
      </c>
      <c r="B6" s="15" t="s">
        <v>174</v>
      </c>
      <c r="C6" s="15">
        <v>150</v>
      </c>
      <c r="D6" s="14" t="str" cm="1">
        <f t="array" ref="D6">_xlfn.SWITCH(TRUE, C6&gt;600, "High", C6&gt;=300, "Medium", "Low")</f>
        <v>Low</v>
      </c>
      <c r="H6" t="s">
        <v>174</v>
      </c>
      <c r="I6">
        <v>0</v>
      </c>
      <c r="J6">
        <v>0</v>
      </c>
      <c r="K6">
        <v>300</v>
      </c>
      <c r="L6">
        <v>600</v>
      </c>
      <c r="M6">
        <v>150</v>
      </c>
      <c r="N6">
        <v>200</v>
      </c>
      <c r="O6">
        <v>1250</v>
      </c>
    </row>
    <row r="7" spans="1:15" x14ac:dyDescent="0.3">
      <c r="A7" s="15" t="s">
        <v>181</v>
      </c>
      <c r="B7" s="15" t="s">
        <v>170</v>
      </c>
      <c r="C7" s="15">
        <v>600</v>
      </c>
      <c r="D7" s="14" t="str" cm="1">
        <f t="array" ref="D7">_xlfn.SWITCH(TRUE, C7&gt;600, "High", C7&gt;=300, "Medium", "Low")</f>
        <v>Medium</v>
      </c>
      <c r="H7" t="s">
        <v>157</v>
      </c>
      <c r="I7">
        <v>1100</v>
      </c>
      <c r="J7">
        <v>550</v>
      </c>
      <c r="K7">
        <v>1100</v>
      </c>
      <c r="L7">
        <v>1000</v>
      </c>
      <c r="M7">
        <v>750</v>
      </c>
      <c r="N7">
        <v>700</v>
      </c>
      <c r="O7">
        <v>5200</v>
      </c>
    </row>
    <row r="8" spans="1:15" x14ac:dyDescent="0.3">
      <c r="A8" s="15" t="s">
        <v>179</v>
      </c>
      <c r="B8" s="15" t="s">
        <v>184</v>
      </c>
      <c r="C8" s="15">
        <v>800</v>
      </c>
      <c r="D8" s="14" t="str" cm="1">
        <f t="array" ref="D8">_xlfn.SWITCH(TRUE, C8&gt;600, "High", C8&gt;=300, "Medium", "Low")</f>
        <v>High</v>
      </c>
    </row>
    <row r="9" spans="1:15" x14ac:dyDescent="0.3">
      <c r="A9" s="15" t="s">
        <v>179</v>
      </c>
      <c r="B9" s="15" t="s">
        <v>174</v>
      </c>
      <c r="C9" s="15">
        <v>300</v>
      </c>
      <c r="D9" s="14" t="str" cm="1">
        <f t="array" ref="D9">_xlfn.SWITCH(TRUE, C9&gt;600, "High", C9&gt;=300, "Medium", "Low")</f>
        <v>Medium</v>
      </c>
    </row>
    <row r="10" spans="1:15" x14ac:dyDescent="0.3">
      <c r="A10" s="15" t="s">
        <v>178</v>
      </c>
      <c r="B10" s="15" t="s">
        <v>170</v>
      </c>
      <c r="C10" s="15">
        <v>250</v>
      </c>
      <c r="D10" s="14" t="str" cm="1">
        <f t="array" ref="D10">_xlfn.SWITCH(TRUE, C10&gt;600, "High", C10&gt;=300, "Medium", "Low")</f>
        <v>Low</v>
      </c>
    </row>
    <row r="11" spans="1:15" x14ac:dyDescent="0.3">
      <c r="A11" s="15" t="s">
        <v>178</v>
      </c>
      <c r="B11" s="15" t="s">
        <v>184</v>
      </c>
      <c r="C11" s="15">
        <v>300</v>
      </c>
      <c r="D11" s="14" t="str" cm="1">
        <f t="array" ref="D11">_xlfn.SWITCH(TRUE, C11&gt;600, "High", C11&gt;=300, "Medium", "Low")</f>
        <v>Medium</v>
      </c>
    </row>
    <row r="12" spans="1:15" x14ac:dyDescent="0.3">
      <c r="A12" s="15" t="s">
        <v>180</v>
      </c>
      <c r="B12" s="15" t="s">
        <v>174</v>
      </c>
      <c r="C12" s="15">
        <v>600</v>
      </c>
      <c r="D12" s="14" t="str" cm="1">
        <f t="array" ref="D12">_xlfn.SWITCH(TRUE, C12&gt;600, "High", C12&gt;=300, "Medium", "Low")</f>
        <v>Medium</v>
      </c>
    </row>
    <row r="13" spans="1:15" x14ac:dyDescent="0.3">
      <c r="A13" s="15" t="s">
        <v>180</v>
      </c>
      <c r="B13" s="15" t="s">
        <v>170</v>
      </c>
      <c r="C13" s="15">
        <v>400</v>
      </c>
      <c r="D13" s="14" t="str" cm="1">
        <f t="array" ref="D13">_xlfn.SWITCH(TRUE, C13&gt;600, "High", C13&gt;=300, "Medium", "Low")</f>
        <v>Medium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A752E0-B1BE-4886-A4DE-245DF0C47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 Sales</vt:lpstr>
      <vt:lpstr>BikeSales PivotTable</vt:lpstr>
      <vt:lpstr>PB redo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Daniel Stan</cp:lastModifiedBy>
  <cp:revision/>
  <dcterms:created xsi:type="dcterms:W3CDTF">2022-11-04T20:14:11Z</dcterms:created>
  <dcterms:modified xsi:type="dcterms:W3CDTF">2026-10-27T18:24:16Z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